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10.xml"/>
  <Override ContentType="application/vnd.openxmlformats-officedocument.drawingml.chart+xml" PartName="/xl/charts/chart6.xml"/>
  <Override ContentType="application/vnd.openxmlformats-officedocument.drawingml.chart+xml" PartName="/xl/charts/chart11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9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requencia" sheetId="1" r:id="rId4"/>
    <sheet state="visible" name="histograma" sheetId="2" r:id="rId5"/>
    <sheet state="visible" name="correlacao" sheetId="3" r:id="rId6"/>
    <sheet state="visible" name="sazonalidade" sheetId="4" r:id="rId7"/>
    <sheet state="visible" name="saz(tipos)" sheetId="5" r:id="rId8"/>
    <sheet state="visible" name="previsao(estacionaria)" sheetId="6" r:id="rId9"/>
    <sheet state="visible" name="previsao(tendencia)" sheetId="7" r:id="rId10"/>
    <sheet state="visible" name="MCM par" sheetId="8" r:id="rId11"/>
  </sheets>
  <definedNames/>
  <calcPr/>
</workbook>
</file>

<file path=xl/sharedStrings.xml><?xml version="1.0" encoding="utf-8"?>
<sst xmlns="http://schemas.openxmlformats.org/spreadsheetml/2006/main" count="87" uniqueCount="66">
  <si>
    <t>Semanas</t>
  </si>
  <si>
    <t>Livros Estatística</t>
  </si>
  <si>
    <t>Matemática</t>
  </si>
  <si>
    <t>Português</t>
  </si>
  <si>
    <t>Geografia</t>
  </si>
  <si>
    <t>Frequência Abs</t>
  </si>
  <si>
    <t>Total</t>
  </si>
  <si>
    <t>Frequência Relativa</t>
  </si>
  <si>
    <t>Distancia (km)</t>
  </si>
  <si>
    <t>Tempo (minutos)</t>
  </si>
  <si>
    <t>Velocidade</t>
  </si>
  <si>
    <t>X</t>
  </si>
  <si>
    <t>Y</t>
  </si>
  <si>
    <t>Pessoa</t>
  </si>
  <si>
    <t>Renda Familiar</t>
  </si>
  <si>
    <t>Gasto com Livros por Ano</t>
  </si>
  <si>
    <t>correlacao</t>
  </si>
  <si>
    <t>R2 ( o quanto a variação de uma coisa é explicada pela outra)</t>
  </si>
  <si>
    <t>projecao linear</t>
  </si>
  <si>
    <t>TOTAL</t>
  </si>
  <si>
    <t>Meses</t>
  </si>
  <si>
    <t>Livros de Direito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</si>
  <si>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</si>
  <si>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</si>
  <si>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</si>
  <si>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</si>
  <si>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</si>
  <si>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</si>
  <si>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</si>
  <si>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</si>
  <si>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</si>
  <si>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</si>
  <si>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</si>
  <si>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</si>
  <si>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Sazonalidade Aditiva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</si>
  <si>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</si>
  <si>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</si>
  <si>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</si>
  <si>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</si>
  <si>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</si>
  <si>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</si>
  <si>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</si>
  <si>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</si>
  <si>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</si>
  <si>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</si>
  <si>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</si>
  <si>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</si>
  <si>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Sazonalidade Multiplicativa</t>
  </si>
  <si>
    <t>Número de Livros vendidos</t>
  </si>
  <si>
    <t>MCM (media centrada movel)</t>
  </si>
  <si>
    <t>media MCM</t>
  </si>
  <si>
    <t>ISI (indice sazonal individual)</t>
  </si>
  <si>
    <t>ISI (indice sazonal intervalo)</t>
  </si>
  <si>
    <t>previsao</t>
  </si>
  <si>
    <t>desvio absoluto</t>
  </si>
  <si>
    <t>variacao +/- 14 livros na previsao</t>
  </si>
  <si>
    <t>Livros de Data Science</t>
  </si>
  <si>
    <t>MCM media centrada movel</t>
  </si>
  <si>
    <t>ISI indice sazonalidade individual</t>
  </si>
  <si>
    <t>ISI indice sazonal intervalo</t>
  </si>
  <si>
    <t>Previsao</t>
  </si>
  <si>
    <t>Desvio ABS</t>
  </si>
  <si>
    <t>Valores</t>
  </si>
  <si>
    <t>MCM</t>
  </si>
  <si>
    <t>ISI</t>
  </si>
  <si>
    <t>variacao +/- 35 livros na previsao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</si>
</sst>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[$R$ -416]#,##0.00"/>
    <numFmt numFmtId="165" formatCode="M/d/yyyy"/>
  </numFmts>
  <fonts count="13">
    <font>
      <sz val="10.0"/>
      <color rgb="FF000000"/>
      <name val="Arial"/>
      <scheme val="minor"/>
    </font>
    <font>
      <b/>
      <sz val="11.0"/>
      <color theme="1"/>
      <name val="Calibri"/>
    </font>
    <font>
      <b/>
      <color theme="1"/>
      <name val="Arial"/>
    </font>
    <font>
      <color theme="1"/>
      <name val="Calibri"/>
    </font>
    <font>
      <color theme="1"/>
      <name val="Arial"/>
      <scheme val="minor"/>
    </font>
    <font>
      <b/>
      <sz val="11.0"/>
      <color theme="1"/>
      <name val="Arial"/>
    </font>
    <font>
      <color theme="1"/>
      <name val="Arial"/>
    </font>
    <font>
      <b/>
      <sz val="12.0"/>
      <color theme="1"/>
      <name val="Arial"/>
      <scheme val="minor"/>
    </font>
    <font>
      <b/>
      <color theme="1"/>
      <name val="Arial"/>
      <scheme val="minor"/>
    </font>
    <font>
      <b/>
      <sz val="11.0"/>
      <color theme="1"/>
      <name val="Cambria"/>
    </font>
    <font>
      <sz val="11.0"/>
      <color theme="1"/>
      <name val="Cambria"/>
    </font>
    <font>
      <b/>
      <sz val="13.0"/>
      <color theme="1"/>
      <name val="Arial"/>
      <scheme val="minor"/>
    </font>
    <font>
      <b/>
      <color theme="1"/>
      <name val="Calibri"/>
    </font>
  </fonts>
  <fills count="8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  <fill>
      <patternFill patternType="solid">
        <fgColor rgb="FFFF9900"/>
        <bgColor rgb="FFFF9900"/>
      </patternFill>
    </fill>
    <fill>
      <patternFill patternType="solid">
        <fgColor rgb="FF00FF00"/>
        <bgColor rgb="FF00FF00"/>
      </patternFill>
    </fill>
    <fill>
      <patternFill patternType="solid">
        <fgColor rgb="FF00FFFF"/>
        <bgColor rgb="FF00FFFF"/>
      </patternFill>
    </fill>
  </fills>
  <borders count="6">
    <border/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vertical="bottom"/>
    </xf>
    <xf borderId="0" fillId="0" fontId="2" numFmtId="0" xfId="0" applyFont="1"/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horizontal="right" vertical="bottom"/>
    </xf>
    <xf borderId="0" fillId="0" fontId="4" numFmtId="0" xfId="0" applyFont="1"/>
    <xf borderId="0" fillId="0" fontId="4" numFmtId="10" xfId="0" applyFont="1" applyNumberFormat="1"/>
    <xf borderId="0" fillId="0" fontId="4" numFmtId="0" xfId="0" applyAlignment="1" applyFont="1">
      <alignment readingOrder="0"/>
    </xf>
    <xf borderId="0" fillId="0" fontId="5" numFmtId="0" xfId="0" applyAlignment="1" applyFont="1">
      <alignment vertical="bottom"/>
    </xf>
    <xf borderId="0" fillId="0" fontId="5" numFmtId="1" xfId="0" applyAlignment="1" applyFont="1" applyNumberFormat="1">
      <alignment vertical="bottom"/>
    </xf>
    <xf borderId="0" fillId="0" fontId="5" numFmtId="1" xfId="0" applyAlignment="1" applyFont="1" applyNumberForma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1" xfId="0" applyAlignment="1" applyFont="1" applyNumberFormat="1">
      <alignment horizontal="right" vertical="bottom"/>
    </xf>
    <xf borderId="0" fillId="0" fontId="4" numFmtId="1" xfId="0" applyFont="1" applyNumberFormat="1"/>
    <xf borderId="0" fillId="0" fontId="2" numFmtId="0" xfId="0" applyAlignment="1" applyFont="1">
      <alignment horizontal="center" vertical="bottom"/>
    </xf>
    <xf borderId="0" fillId="0" fontId="2" numFmtId="164" xfId="0" applyAlignment="1" applyFont="1" applyNumberFormat="1">
      <alignment horizontal="center" readingOrder="0" vertical="bottom"/>
    </xf>
    <xf borderId="0" fillId="0" fontId="2" numFmtId="164" xfId="0" applyAlignment="1" applyFont="1" applyNumberFormat="1">
      <alignment horizontal="left" readingOrder="0" vertical="bottom"/>
    </xf>
    <xf borderId="0" fillId="0" fontId="2" numFmtId="164" xfId="0" applyAlignment="1" applyFont="1" applyNumberFormat="1">
      <alignment vertical="bottom"/>
    </xf>
    <xf borderId="0" fillId="2" fontId="2" numFmtId="164" xfId="0" applyAlignment="1" applyFill="1" applyFont="1" applyNumberFormat="1">
      <alignment horizontal="center" readingOrder="0" vertical="bottom"/>
    </xf>
    <xf borderId="0" fillId="2" fontId="2" numFmtId="164" xfId="0" applyAlignment="1" applyFont="1" applyNumberFormat="1">
      <alignment horizontal="left" readingOrder="0" vertical="bottom"/>
    </xf>
    <xf borderId="0" fillId="0" fontId="6" numFmtId="0" xfId="0" applyAlignment="1" applyFont="1">
      <alignment horizontal="center" vertical="bottom"/>
    </xf>
    <xf borderId="0" fillId="0" fontId="6" numFmtId="164" xfId="0" applyAlignment="1" applyFont="1" applyNumberFormat="1">
      <alignment horizontal="right" vertical="bottom"/>
    </xf>
    <xf borderId="0" fillId="0" fontId="6" numFmtId="164" xfId="0" applyAlignment="1" applyFont="1" applyNumberFormat="1">
      <alignment horizontal="center" vertical="top"/>
    </xf>
    <xf borderId="0" fillId="2" fontId="7" numFmtId="2" xfId="0" applyAlignment="1" applyFont="1" applyNumberFormat="1">
      <alignment horizontal="center"/>
    </xf>
    <xf borderId="0" fillId="2" fontId="7" numFmtId="10" xfId="0" applyAlignment="1" applyFont="1" applyNumberFormat="1">
      <alignment horizontal="center"/>
    </xf>
    <xf borderId="0" fillId="3" fontId="8" numFmtId="0" xfId="0" applyAlignment="1" applyFill="1" applyFont="1">
      <alignment readingOrder="0"/>
    </xf>
    <xf borderId="0" fillId="3" fontId="8" numFmtId="164" xfId="0" applyFont="1" applyNumberFormat="1"/>
    <xf borderId="0" fillId="3" fontId="8" numFmtId="0" xfId="0" applyFont="1"/>
    <xf borderId="0" fillId="4" fontId="2" numFmtId="165" xfId="0" applyAlignment="1" applyFill="1" applyFont="1" applyNumberFormat="1">
      <alignment horizontal="center" vertical="bottom"/>
    </xf>
    <xf borderId="0" fillId="4" fontId="2" numFmtId="0" xfId="0" applyAlignment="1" applyFont="1">
      <alignment horizontal="center" vertical="bottom"/>
    </xf>
    <xf borderId="0" fillId="0" fontId="6" numFmtId="165" xfId="0" applyAlignment="1" applyFont="1" applyNumberFormat="1">
      <alignment horizontal="right" vertical="bottom"/>
    </xf>
    <xf borderId="0" fillId="0" fontId="4" numFmtId="165" xfId="0" applyFont="1" applyNumberFormat="1"/>
    <xf borderId="0" fillId="2" fontId="5" numFmtId="0" xfId="0" applyAlignment="1" applyFont="1">
      <alignment horizontal="center" vertical="bottom"/>
    </xf>
    <xf borderId="0" fillId="0" fontId="6" numFmtId="0" xfId="0" applyAlignment="1" applyFont="1">
      <alignment vertical="bottom"/>
    </xf>
    <xf borderId="0" fillId="0" fontId="9" numFmtId="0" xfId="0" applyAlignment="1" applyFont="1">
      <alignment horizontal="right" vertical="bottom"/>
    </xf>
    <xf borderId="0" fillId="0" fontId="9" numFmtId="0" xfId="0" applyAlignment="1" applyFont="1">
      <alignment vertical="bottom"/>
    </xf>
    <xf borderId="0" fillId="0" fontId="10" numFmtId="0" xfId="0" applyAlignment="1" applyFont="1">
      <alignment horizontal="right" vertical="bottom"/>
    </xf>
    <xf borderId="1" fillId="0" fontId="1" numFmtId="165" xfId="0" applyAlignment="1" applyBorder="1" applyFont="1" applyNumberFormat="1">
      <alignment horizontal="left" vertical="bottom"/>
    </xf>
    <xf borderId="1" fillId="0" fontId="1" numFmtId="0" xfId="0" applyAlignment="1" applyBorder="1" applyFont="1">
      <alignment horizontal="left" readingOrder="0" vertical="bottom"/>
    </xf>
    <xf borderId="1" fillId="5" fontId="1" numFmtId="0" xfId="0" applyAlignment="1" applyBorder="1" applyFill="1" applyFont="1">
      <alignment horizontal="left" readingOrder="0" vertical="bottom"/>
    </xf>
    <xf borderId="2" fillId="0" fontId="3" numFmtId="165" xfId="0" applyAlignment="1" applyBorder="1" applyFont="1" applyNumberFormat="1">
      <alignment horizontal="right" vertical="bottom"/>
    </xf>
    <xf borderId="3" fillId="0" fontId="3" numFmtId="0" xfId="0" applyAlignment="1" applyBorder="1" applyFont="1">
      <alignment horizontal="right" vertical="bottom"/>
    </xf>
    <xf borderId="0" fillId="6" fontId="4" numFmtId="0" xfId="0" applyFill="1" applyFont="1"/>
    <xf borderId="0" fillId="5" fontId="4" numFmtId="0" xfId="0" applyFont="1"/>
    <xf borderId="4" fillId="0" fontId="3" numFmtId="165" xfId="0" applyAlignment="1" applyBorder="1" applyFont="1" applyNumberFormat="1">
      <alignment horizontal="right" vertical="bottom"/>
    </xf>
    <xf borderId="5" fillId="0" fontId="3" numFmtId="0" xfId="0" applyAlignment="1" applyBorder="1" applyFont="1">
      <alignment horizontal="right" vertical="bottom"/>
    </xf>
    <xf borderId="0" fillId="7" fontId="11" numFmtId="2" xfId="0" applyFill="1" applyFont="1" applyNumberFormat="1"/>
    <xf borderId="0" fillId="7" fontId="4" numFmtId="0" xfId="0" applyAlignment="1" applyFont="1">
      <alignment readingOrder="0"/>
    </xf>
    <xf borderId="0" fillId="6" fontId="1" numFmtId="0" xfId="0" applyAlignment="1" applyFont="1">
      <alignment horizontal="center" vertical="bottom"/>
    </xf>
    <xf borderId="0" fillId="6" fontId="1" numFmtId="0" xfId="0" applyAlignment="1" applyFont="1">
      <alignment horizontal="left" readingOrder="0" vertical="bottom"/>
    </xf>
    <xf borderId="0" fillId="7" fontId="4" numFmtId="0" xfId="0" applyFont="1"/>
    <xf borderId="0" fillId="5" fontId="12" numFmtId="165" xfId="0" applyAlignment="1" applyFont="1" applyNumberFormat="1">
      <alignment horizontal="center" vertical="bottom"/>
    </xf>
    <xf borderId="0" fillId="2" fontId="12" numFmtId="0" xfId="0" applyAlignment="1" applyFont="1">
      <alignment horizontal="center" readingOrder="0" vertical="bottom"/>
    </xf>
    <xf borderId="0" fillId="5" fontId="12" numFmtId="0" xfId="0" applyAlignment="1" applyFont="1">
      <alignment horizontal="center" vertical="bottom"/>
    </xf>
    <xf borderId="0" fillId="5" fontId="12" numFmtId="0" xfId="0" applyAlignment="1" applyFont="1">
      <alignment horizontal="center" readingOrder="0" vertical="bottom"/>
    </xf>
    <xf borderId="0" fillId="0" fontId="3" numFmtId="165" xfId="0" applyAlignment="1" applyFont="1" applyNumberFormat="1">
      <alignment horizontal="right" vertical="bottom"/>
    </xf>
    <xf borderId="0" fillId="2" fontId="3" numFmtId="0" xfId="0" applyAlignment="1" applyFont="1">
      <alignment horizontal="right" readingOrder="0" vertical="bottom"/>
    </xf>
    <xf borderId="0" fillId="0" fontId="3" numFmtId="165" xfId="0" applyFont="1" applyNumberFormat="1"/>
    <xf borderId="0" fillId="2" fontId="4" numFmtId="0" xfId="0" applyFont="1"/>
    <xf borderId="0" fillId="2" fontId="3" numFmtId="0" xfId="0" applyAlignment="1" applyFont="1">
      <alignment horizontal="right" vertical="bottom"/>
    </xf>
    <xf borderId="0" fillId="0" fontId="3" numFmtId="165" xfId="0" applyAlignment="1" applyFont="1" applyNumberFormat="1">
      <alignment readingOrder="0"/>
    </xf>
    <xf borderId="0" fillId="2" fontId="4" numFmtId="0" xfId="0" applyAlignment="1" applyFont="1">
      <alignment readingOrder="0"/>
    </xf>
    <xf borderId="0" fillId="0" fontId="3" numFmtId="165" xfId="0" applyAlignment="1" applyFont="1" applyNumberFormat="1">
      <alignment horizontal="right"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scatterChart>
        <c:scatterStyle val="lineMarker"/>
        <c:varyColors val="0"/>
        <c:ser>
          <c:idx val="0"/>
          <c:order val="0"/>
          <c:tx>
            <c:strRef>
              <c:f>correlacao!$C$2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1"/>
            <c:dispEq val="1"/>
          </c:trendline>
          <c:xVal>
            <c:numRef>
              <c:f>correlacao!$B$3:$B$27</c:f>
            </c:numRef>
          </c:xVal>
          <c:yVal>
            <c:numRef>
              <c:f>correlacao!$C$3:$C$27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43692137"/>
        <c:axId val="1286435926"/>
      </c:scatterChart>
      <c:valAx>
        <c:axId val="543692137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86435926"/>
      </c:valAx>
      <c:valAx>
        <c:axId val="128643592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369213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Livros de Direito vs. Meses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sazonalidade!$B$1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sazonalidade!$A$2:$A$37</c:f>
            </c:strRef>
          </c:cat>
          <c:val>
            <c:numRef>
              <c:f>sazonalidade!$B$2:$B$37</c:f>
              <c:numCache/>
            </c:numRef>
          </c:val>
          <c:smooth val="0"/>
        </c:ser>
        <c:axId val="46717342"/>
        <c:axId val="1052130738"/>
      </c:lineChart>
      <c:catAx>
        <c:axId val="4671734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52130738"/>
      </c:catAx>
      <c:valAx>
        <c:axId val="1052130738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Livros de Direito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671734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2018, 2019 and 2020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sazonalidade!$E$13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sazonalidade!$D$14:$D$25</c:f>
            </c:strRef>
          </c:cat>
          <c:val>
            <c:numRef>
              <c:f>sazonalidade!$E$14:$E$25</c:f>
              <c:numCache/>
            </c:numRef>
          </c:val>
          <c:smooth val="0"/>
        </c:ser>
        <c:ser>
          <c:idx val="1"/>
          <c:order val="1"/>
          <c:tx>
            <c:strRef>
              <c:f>sazonalidade!$F$13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sazonalidade!$D$14:$D$25</c:f>
            </c:strRef>
          </c:cat>
          <c:val>
            <c:numRef>
              <c:f>sazonalidade!$F$14:$F$25</c:f>
              <c:numCache/>
            </c:numRef>
          </c:val>
          <c:smooth val="0"/>
        </c:ser>
        <c:ser>
          <c:idx val="2"/>
          <c:order val="2"/>
          <c:tx>
            <c:strRef>
              <c:f>sazonalidade!$G$13</c:f>
            </c:strRef>
          </c:tx>
          <c:spPr>
            <a:ln cmpd="sng">
              <a:solidFill>
                <a:srgbClr val="FBBC04"/>
              </a:solidFill>
            </a:ln>
          </c:spPr>
          <c:marker>
            <c:symbol val="none"/>
          </c:marker>
          <c:cat>
            <c:strRef>
              <c:f>sazonalidade!$D$14:$D$25</c:f>
            </c:strRef>
          </c:cat>
          <c:val>
            <c:numRef>
              <c:f>sazonalidade!$G$14:$G$25</c:f>
              <c:numCache/>
            </c:numRef>
          </c:val>
          <c:smooth val="0"/>
        </c:ser>
        <c:axId val="1041182130"/>
        <c:axId val="665546261"/>
      </c:lineChart>
      <c:catAx>
        <c:axId val="104118213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65546261"/>
      </c:catAx>
      <c:valAx>
        <c:axId val="665546261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04118213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Número de Livros vendidos vs. Meses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'previsao(estacionaria)'!$B$1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'previsao(estacionaria)'!$A$2:$A$16</c:f>
            </c:strRef>
          </c:cat>
          <c:val>
            <c:numRef>
              <c:f>'previsao(estacionaria)'!$B$2:$B$16</c:f>
              <c:numCache/>
            </c:numRef>
          </c:val>
          <c:smooth val="0"/>
        </c:ser>
        <c:axId val="476063493"/>
        <c:axId val="1219029989"/>
      </c:lineChart>
      <c:catAx>
        <c:axId val="47606349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19029989"/>
      </c:catAx>
      <c:valAx>
        <c:axId val="121902998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Número de Livros vendidos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7606349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Número de Livros vendidos and previsao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'previsao(estacionaria)'!$B$1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val>
            <c:numRef>
              <c:f>'previsao(estacionaria)'!$B$2:$B$1000</c:f>
              <c:numCache/>
            </c:numRef>
          </c:val>
          <c:smooth val="0"/>
        </c:ser>
        <c:ser>
          <c:idx val="1"/>
          <c:order val="1"/>
          <c:tx>
            <c:strRef>
              <c:f>'previsao(estacionaria)'!$G$1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val>
            <c:numRef>
              <c:f>'previsao(estacionaria)'!$G$2:$G$1000</c:f>
              <c:numCache/>
            </c:numRef>
          </c:val>
          <c:smooth val="0"/>
        </c:ser>
        <c:axId val="2104467491"/>
        <c:axId val="906207214"/>
      </c:lineChart>
      <c:catAx>
        <c:axId val="210446749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06207214"/>
      </c:catAx>
      <c:valAx>
        <c:axId val="906207214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0446749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Livros de Data Science vs. Semanas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'previsao(tendencia)'!$B$1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'previsao(tendencia)'!$A$2:$A$17</c:f>
            </c:strRef>
          </c:cat>
          <c:val>
            <c:numRef>
              <c:f>'previsao(tendencia)'!$B$2:$B$17</c:f>
              <c:numCache/>
            </c:numRef>
          </c:val>
          <c:smooth val="0"/>
        </c:ser>
        <c:axId val="1817938881"/>
        <c:axId val="562722375"/>
      </c:lineChart>
      <c:catAx>
        <c:axId val="181793888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Semanas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62722375"/>
      </c:catAx>
      <c:valAx>
        <c:axId val="5627223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Livros de Data Science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793888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MCM media centrada movel</a:t>
            </a:r>
          </a:p>
        </c:rich>
      </c:tx>
      <c:overlay val="0"/>
    </c:title>
    <c:plotArea>
      <c:layout/>
      <c:lineChart>
        <c:varyColors val="0"/>
        <c:ser>
          <c:idx val="0"/>
          <c:order val="0"/>
          <c:tx>
            <c:strRef>
              <c:f>'previsao(tendencia)'!$C$1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1"/>
            <c:dispEq val="1"/>
          </c:trendline>
          <c:val>
            <c:numRef>
              <c:f>'previsao(tendencia)'!$C$2:$C$23</c:f>
              <c:numCache/>
            </c:numRef>
          </c:val>
          <c:smooth val="0"/>
        </c:ser>
        <c:axId val="1778662162"/>
        <c:axId val="126268705"/>
      </c:lineChart>
      <c:catAx>
        <c:axId val="177866216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268705"/>
      </c:catAx>
      <c:valAx>
        <c:axId val="1262687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MCM media centrada movel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78662162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Semanas, Livros de Data Science and Previsao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'previsao(tendencia)'!$B$1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'previsao(tendencia)'!$A$2:$A$1000</c:f>
            </c:strRef>
          </c:cat>
          <c:val>
            <c:numRef>
              <c:f>'previsao(tendencia)'!$B$2:$B$1000</c:f>
              <c:numCache/>
            </c:numRef>
          </c:val>
          <c:smooth val="0"/>
        </c:ser>
        <c:ser>
          <c:idx val="1"/>
          <c:order val="1"/>
          <c:tx>
            <c:strRef>
              <c:f>'previsao(tendencia)'!$F$1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'previsao(tendencia)'!$A$2:$A$1000</c:f>
            </c:strRef>
          </c:cat>
          <c:val>
            <c:numRef>
              <c:f>'previsao(tendencia)'!$F$2:$F$1000</c:f>
              <c:numCache/>
            </c:numRef>
          </c:val>
          <c:smooth val="0"/>
        </c:ser>
        <c:axId val="1428235451"/>
        <c:axId val="677632809"/>
      </c:lineChart>
      <c:catAx>
        <c:axId val="142823545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7632809"/>
      </c:catAx>
      <c:valAx>
        <c:axId val="677632809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42823545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9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Valores vs. Meses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'MCM par'!$B$1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0"/>
          </c:trendline>
          <c:cat>
            <c:strRef>
              <c:f>'MCM par'!$A$2:$A$54</c:f>
            </c:strRef>
          </c:cat>
          <c:val>
            <c:numRef>
              <c:f>'MCM par'!$B$2:$B$54</c:f>
              <c:numCache/>
            </c:numRef>
          </c:val>
          <c:smooth val="0"/>
        </c:ser>
        <c:ser>
          <c:idx val="1"/>
          <c:order val="1"/>
          <c:tx>
            <c:strRef>
              <c:f>'MCM par'!$C$1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'MCM par'!$A$2:$A$54</c:f>
            </c:strRef>
          </c:cat>
          <c:val>
            <c:numRef>
              <c:f>'MCM par'!$C$2:$C$54</c:f>
              <c:numCache/>
            </c:numRef>
          </c:val>
          <c:smooth val="0"/>
        </c:ser>
        <c:axId val="395951928"/>
        <c:axId val="1638154805"/>
      </c:lineChart>
      <c:catAx>
        <c:axId val="3959519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38154805"/>
      </c:catAx>
      <c:valAx>
        <c:axId val="163815480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Valores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3959519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0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lineChart>
        <c:varyColors val="0"/>
        <c:ser>
          <c:idx val="0"/>
          <c:order val="0"/>
          <c:tx>
            <c:strRef>
              <c:f>'MCM par'!$E$1:$E$7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trendline>
            <c:name/>
            <c:spPr>
              <a:ln w="38100">
                <a:solidFill>
                  <a:srgbClr val="FF9900">
                    <a:alpha val="60000"/>
                  </a:srgbClr>
                </a:solidFill>
              </a:ln>
            </c:spPr>
            <c:trendlineType val="linear"/>
            <c:dispRSqr val="0"/>
            <c:dispEq val="1"/>
          </c:trendline>
          <c:val>
            <c:numRef>
              <c:f>'MCM par'!$E$8:$E$1004</c:f>
              <c:numCache/>
            </c:numRef>
          </c:val>
          <c:smooth val="0"/>
        </c:ser>
        <c:axId val="1926635498"/>
        <c:axId val="1377622060"/>
      </c:lineChart>
      <c:catAx>
        <c:axId val="192663549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77622060"/>
      </c:catAx>
      <c:valAx>
        <c:axId val="1377622060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2663549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1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Valores and Previsao</a:t>
            </a:r>
          </a:p>
        </c:rich>
      </c:tx>
      <c:overlay val="0"/>
    </c:title>
    <c:plotArea>
      <c:layout/>
      <c:lineChart>
        <c:ser>
          <c:idx val="0"/>
          <c:order val="0"/>
          <c:tx>
            <c:strRef>
              <c:f>'MCM par'!$C$1</c:f>
            </c:strRef>
          </c:tx>
          <c:spPr>
            <a:ln cmpd="sng">
              <a:solidFill>
                <a:srgbClr val="4285F4"/>
              </a:solidFill>
            </a:ln>
          </c:spPr>
          <c:marker>
            <c:symbol val="none"/>
          </c:marker>
          <c:cat>
            <c:strRef>
              <c:f>'MCM par'!$A$2:$A$1004</c:f>
            </c:strRef>
          </c:cat>
          <c:val>
            <c:numRef>
              <c:f>'MCM par'!$C$2:$C$1004</c:f>
              <c:numCache/>
            </c:numRef>
          </c:val>
          <c:smooth val="0"/>
        </c:ser>
        <c:ser>
          <c:idx val="1"/>
          <c:order val="1"/>
          <c:tx>
            <c:strRef>
              <c:f>'MCM par'!$H$1</c:f>
            </c:strRef>
          </c:tx>
          <c:spPr>
            <a:ln cmpd="sng">
              <a:solidFill>
                <a:srgbClr val="EA4335"/>
              </a:solidFill>
            </a:ln>
          </c:spPr>
          <c:marker>
            <c:symbol val="none"/>
          </c:marker>
          <c:cat>
            <c:strRef>
              <c:f>'MCM par'!$A$2:$A$1004</c:f>
            </c:strRef>
          </c:cat>
          <c:val>
            <c:numRef>
              <c:f>'MCM par'!$H$2:$H$1004</c:f>
              <c:numCache/>
            </c:numRef>
          </c:val>
          <c:smooth val="0"/>
        </c:ser>
        <c:axId val="1681335138"/>
        <c:axId val="1271031347"/>
      </c:lineChart>
      <c:catAx>
        <c:axId val="168133513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Meses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71031347"/>
      </c:catAx>
      <c:valAx>
        <c:axId val="1271031347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68133513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image" Target="../media/image4.png"/><Relationship Id="rId3" Type="http://schemas.openxmlformats.org/officeDocument/2006/relationships/image" Target="../media/image3.png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Relationship Id="rId2" Type="http://schemas.openxmlformats.org/officeDocument/2006/relationships/chart" Target="../charts/chart3.xml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6.xml"/><Relationship Id="rId2" Type="http://schemas.openxmlformats.org/officeDocument/2006/relationships/chart" Target="../charts/chart7.xml"/><Relationship Id="rId3" Type="http://schemas.openxmlformats.org/officeDocument/2006/relationships/chart" Target="../charts/chart8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3</xdr:col>
      <xdr:colOff>19050</xdr:colOff>
      <xdr:row>3</xdr:row>
      <xdr:rowOff>28575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638175</xdr:colOff>
      <xdr:row>3</xdr:row>
      <xdr:rowOff>28575</xdr:rowOff>
    </xdr:from>
    <xdr:ext cx="3276600" cy="1476375"/>
    <xdr:pic>
      <xdr:nvPicPr>
        <xdr:cNvPr id="0" name="image4.png" title="Imagem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638175</xdr:colOff>
      <xdr:row>10</xdr:row>
      <xdr:rowOff>104775</xdr:rowOff>
    </xdr:from>
    <xdr:ext cx="4362450" cy="1552575"/>
    <xdr:pic>
      <xdr:nvPicPr>
        <xdr:cNvPr id="0" name="image3.pn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9525</xdr:colOff>
      <xdr:row>0</xdr:row>
      <xdr:rowOff>0</xdr:rowOff>
    </xdr:from>
    <xdr:ext cx="5715000" cy="2171700"/>
    <xdr:graphicFrame>
      <xdr:nvGraphicFramePr>
        <xdr:cNvPr id="2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7</xdr:col>
      <xdr:colOff>9525</xdr:colOff>
      <xdr:row>10</xdr:row>
      <xdr:rowOff>171450</xdr:rowOff>
    </xdr:from>
    <xdr:ext cx="5715000" cy="2171700"/>
    <xdr:graphicFrame>
      <xdr:nvGraphicFramePr>
        <xdr:cNvPr id="3" name="Chart 3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85725</xdr:colOff>
      <xdr:row>1</xdr:row>
      <xdr:rowOff>190500</xdr:rowOff>
    </xdr:from>
    <xdr:ext cx="6619875" cy="2590800"/>
    <xdr:pic>
      <xdr:nvPicPr>
        <xdr:cNvPr id="0" name="image1.png" title="Gráfico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5</xdr:col>
      <xdr:colOff>66675</xdr:colOff>
      <xdr:row>21</xdr:row>
      <xdr:rowOff>190500</xdr:rowOff>
    </xdr:from>
    <xdr:ext cx="6324600" cy="2743200"/>
    <xdr:pic>
      <xdr:nvPicPr>
        <xdr:cNvPr id="0" name="image2.png" title="Gráfico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8</xdr:col>
      <xdr:colOff>28575</xdr:colOff>
      <xdr:row>0</xdr:row>
      <xdr:rowOff>0</xdr:rowOff>
    </xdr:from>
    <xdr:ext cx="5715000" cy="2190750"/>
    <xdr:graphicFrame>
      <xdr:nvGraphicFramePr>
        <xdr:cNvPr id="4" name="Chart 4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8</xdr:col>
      <xdr:colOff>28575</xdr:colOff>
      <xdr:row>10</xdr:row>
      <xdr:rowOff>171450</xdr:rowOff>
    </xdr:from>
    <xdr:ext cx="5715000" cy="2190750"/>
    <xdr:graphicFrame>
      <xdr:nvGraphicFramePr>
        <xdr:cNvPr id="5" name="Chart 5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7</xdr:col>
      <xdr:colOff>19050</xdr:colOff>
      <xdr:row>0</xdr:row>
      <xdr:rowOff>0</xdr:rowOff>
    </xdr:from>
    <xdr:ext cx="5715000" cy="2171700"/>
    <xdr:graphicFrame>
      <xdr:nvGraphicFramePr>
        <xdr:cNvPr id="6" name="Chart 6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12</xdr:col>
      <xdr:colOff>257175</xdr:colOff>
      <xdr:row>0</xdr:row>
      <xdr:rowOff>0</xdr:rowOff>
    </xdr:from>
    <xdr:ext cx="5715000" cy="2171700"/>
    <xdr:graphicFrame>
      <xdr:nvGraphicFramePr>
        <xdr:cNvPr id="7" name="Chart 7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7</xdr:col>
      <xdr:colOff>19050</xdr:colOff>
      <xdr:row>10</xdr:row>
      <xdr:rowOff>152400</xdr:rowOff>
    </xdr:from>
    <xdr:ext cx="5715000" cy="2171700"/>
    <xdr:graphicFrame>
      <xdr:nvGraphicFramePr>
        <xdr:cNvPr id="8" name="Chart 8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19050</xdr:colOff>
      <xdr:row>0</xdr:row>
      <xdr:rowOff>0</xdr:rowOff>
    </xdr:from>
    <xdr:ext cx="5715000" cy="2152650"/>
    <xdr:graphicFrame>
      <xdr:nvGraphicFramePr>
        <xdr:cNvPr id="9" name="Chart 9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14</xdr:col>
      <xdr:colOff>257175</xdr:colOff>
      <xdr:row>0</xdr:row>
      <xdr:rowOff>0</xdr:rowOff>
    </xdr:from>
    <xdr:ext cx="5715000" cy="2152650"/>
    <xdr:graphicFrame>
      <xdr:nvGraphicFramePr>
        <xdr:cNvPr id="10" name="Chart 10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9</xdr:col>
      <xdr:colOff>19050</xdr:colOff>
      <xdr:row>10</xdr:row>
      <xdr:rowOff>152400</xdr:rowOff>
    </xdr:from>
    <xdr:ext cx="5715000" cy="2219325"/>
    <xdr:graphicFrame>
      <xdr:nvGraphicFramePr>
        <xdr:cNvPr id="11" name="Chart 1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3</xdr:col>
      <xdr:colOff>390525</xdr:colOff>
      <xdr:row>0</xdr:row>
      <xdr:rowOff>0</xdr:rowOff>
    </xdr:from>
    <xdr:ext cx="600075" cy="6153150"/>
    <xdr:sp>
      <xdr:nvSpPr>
        <xdr:cNvPr id="3" name="Shape 3"/>
        <xdr:cNvSpPr/>
      </xdr:nvSpPr>
      <xdr:spPr>
        <a:xfrm>
          <a:off x="1829225" y="619575"/>
          <a:ext cx="1071900" cy="3176700"/>
        </a:xfrm>
        <a:prstGeom prst="flowChartAlternateProcess">
          <a:avLst/>
        </a:prstGeom>
        <a:noFill/>
        <a:ln cap="flat" cmpd="sng" w="76200">
          <a:solidFill>
            <a:srgbClr val="FF0000"/>
          </a:solidFill>
          <a:prstDash val="solid"/>
          <a:round/>
          <a:headEnd len="sm" w="sm" type="none"/>
          <a:tailEnd len="sm" w="sm" type="none"/>
        </a:ln>
      </xdr:spPr>
      <xdr:txBody>
        <a:bodyPr anchorCtr="0" anchor="ctr" bIns="91425" lIns="91425" spcFirstLastPara="1" rIns="91425" wrap="square" tIns="91425">
          <a:noAutofit/>
        </a:bodyPr>
        <a:lstStyle/>
        <a:p>
          <a:pPr indent="0" lvl="0" marL="0" rtl="0" algn="l">
            <a:spcBef>
              <a:spcPts val="0"/>
            </a:spcBef>
            <a:spcAft>
              <a:spcPts val="0"/>
            </a:spcAft>
            <a:buNone/>
          </a:pPr>
          <a:r>
            <a:t/>
          </a:r>
          <a:endParaRPr sz="1400"/>
        </a:p>
      </xdr:txBody>
    </xdr:sp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H1" s="2" t="s">
        <v>5</v>
      </c>
    </row>
    <row r="2">
      <c r="A2" s="3">
        <v>1.0</v>
      </c>
      <c r="B2" s="4">
        <v>4.0</v>
      </c>
      <c r="C2" s="4">
        <v>5.0</v>
      </c>
      <c r="D2" s="4">
        <v>13.0</v>
      </c>
      <c r="E2" s="4">
        <v>19.0</v>
      </c>
      <c r="H2" s="5">
        <f>sum(B2:B16)</f>
        <v>211</v>
      </c>
    </row>
    <row r="3">
      <c r="A3" s="3">
        <v>2.0</v>
      </c>
      <c r="B3" s="4">
        <v>7.0</v>
      </c>
      <c r="C3" s="4">
        <v>7.0</v>
      </c>
      <c r="D3" s="4">
        <v>11.0</v>
      </c>
      <c r="E3" s="4">
        <v>16.0</v>
      </c>
    </row>
    <row r="4">
      <c r="A4" s="3">
        <v>3.0</v>
      </c>
      <c r="B4" s="4">
        <v>6.0</v>
      </c>
      <c r="C4" s="4">
        <v>8.0</v>
      </c>
      <c r="D4" s="4">
        <v>12.0</v>
      </c>
      <c r="E4" s="4">
        <v>15.0</v>
      </c>
      <c r="H4" s="2" t="s">
        <v>6</v>
      </c>
    </row>
    <row r="5">
      <c r="A5" s="3">
        <v>4.0</v>
      </c>
      <c r="B5" s="4">
        <v>11.0</v>
      </c>
      <c r="C5" s="4">
        <v>5.0</v>
      </c>
      <c r="D5" s="4">
        <v>15.0</v>
      </c>
      <c r="E5" s="4">
        <v>11.0</v>
      </c>
      <c r="H5" s="5">
        <f>sum(B2:E16)</f>
        <v>799</v>
      </c>
    </row>
    <row r="6">
      <c r="A6" s="3">
        <v>5.0</v>
      </c>
      <c r="B6" s="4">
        <v>7.0</v>
      </c>
      <c r="C6" s="4">
        <v>13.0</v>
      </c>
      <c r="D6" s="4">
        <v>17.0</v>
      </c>
      <c r="E6" s="4">
        <v>9.0</v>
      </c>
    </row>
    <row r="7">
      <c r="A7" s="3">
        <v>6.0</v>
      </c>
      <c r="B7" s="4">
        <v>12.0</v>
      </c>
      <c r="C7" s="4">
        <v>25.0</v>
      </c>
      <c r="D7" s="4">
        <v>14.0</v>
      </c>
      <c r="E7" s="4">
        <v>8.0</v>
      </c>
      <c r="H7" s="2" t="s">
        <v>7</v>
      </c>
    </row>
    <row r="8">
      <c r="A8" s="3">
        <v>7.0</v>
      </c>
      <c r="B8" s="4">
        <v>14.0</v>
      </c>
      <c r="C8" s="4">
        <v>14.0</v>
      </c>
      <c r="D8" s="4">
        <v>16.0</v>
      </c>
      <c r="E8" s="4">
        <v>7.0</v>
      </c>
      <c r="H8" s="6">
        <f>H2/H5</f>
        <v>0.2640801001</v>
      </c>
    </row>
    <row r="9">
      <c r="A9" s="3">
        <v>8.0</v>
      </c>
      <c r="B9" s="4">
        <v>11.0</v>
      </c>
      <c r="C9" s="4">
        <v>15.0</v>
      </c>
      <c r="D9" s="4">
        <v>17.0</v>
      </c>
      <c r="E9" s="4">
        <v>13.0</v>
      </c>
    </row>
    <row r="10">
      <c r="A10" s="3">
        <v>9.0</v>
      </c>
      <c r="B10" s="4">
        <v>20.0</v>
      </c>
      <c r="C10" s="4">
        <v>10.0</v>
      </c>
      <c r="D10" s="4">
        <v>13.0</v>
      </c>
      <c r="E10" s="4">
        <v>8.0</v>
      </c>
    </row>
    <row r="11">
      <c r="A11" s="3">
        <v>10.0</v>
      </c>
      <c r="B11" s="4">
        <v>19.0</v>
      </c>
      <c r="C11" s="4">
        <v>8.0</v>
      </c>
      <c r="D11" s="4">
        <v>18.0</v>
      </c>
      <c r="E11" s="4">
        <v>9.0</v>
      </c>
    </row>
    <row r="12">
      <c r="A12" s="3">
        <v>11.0</v>
      </c>
      <c r="B12" s="4">
        <v>18.0</v>
      </c>
      <c r="C12" s="4">
        <v>7.0</v>
      </c>
      <c r="D12" s="4">
        <v>17.0</v>
      </c>
      <c r="E12" s="4">
        <v>15.0</v>
      </c>
    </row>
    <row r="13">
      <c r="A13" s="3">
        <v>12.0</v>
      </c>
      <c r="B13" s="4">
        <v>21.0</v>
      </c>
      <c r="C13" s="4">
        <v>19.0</v>
      </c>
      <c r="D13" s="4">
        <v>16.0</v>
      </c>
      <c r="E13" s="4">
        <v>17.0</v>
      </c>
    </row>
    <row r="14">
      <c r="A14" s="3">
        <v>13.0</v>
      </c>
      <c r="B14" s="4">
        <v>20.0</v>
      </c>
      <c r="C14" s="4">
        <v>8.0</v>
      </c>
      <c r="D14" s="4">
        <v>11.0</v>
      </c>
      <c r="E14" s="4">
        <v>19.0</v>
      </c>
    </row>
    <row r="15">
      <c r="A15" s="3">
        <v>14.0</v>
      </c>
      <c r="B15" s="4">
        <v>19.0</v>
      </c>
      <c r="C15" s="4">
        <v>20.0</v>
      </c>
      <c r="D15" s="4">
        <v>10.0</v>
      </c>
      <c r="E15" s="4">
        <v>11.0</v>
      </c>
    </row>
    <row r="16">
      <c r="A16" s="3">
        <v>15.0</v>
      </c>
      <c r="B16" s="4">
        <v>22.0</v>
      </c>
      <c r="C16" s="4">
        <v>21.0</v>
      </c>
      <c r="D16" s="4">
        <v>19.0</v>
      </c>
      <c r="E16" s="4">
        <v>7.0</v>
      </c>
      <c r="J16" s="7"/>
    </row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5"/>
    <col customWidth="1" min="2" max="2" width="15.75"/>
    <col customWidth="1" min="3" max="3" width="10.63"/>
    <col customWidth="1" min="4" max="27" width="14.38"/>
  </cols>
  <sheetData>
    <row r="1">
      <c r="A1" s="8" t="s">
        <v>8</v>
      </c>
      <c r="B1" s="9" t="s">
        <v>9</v>
      </c>
      <c r="C1" s="10" t="s">
        <v>10</v>
      </c>
    </row>
    <row r="2">
      <c r="A2" s="11">
        <v>29.0</v>
      </c>
      <c r="B2" s="12">
        <v>78.40629625774558</v>
      </c>
      <c r="C2" s="13">
        <f t="shared" ref="C2:C251" si="1">(A2/B2)*60</f>
        <v>22.19209532</v>
      </c>
    </row>
    <row r="3">
      <c r="A3" s="11">
        <v>27.0</v>
      </c>
      <c r="B3" s="12">
        <v>32.42212761353445</v>
      </c>
      <c r="C3" s="13">
        <f t="shared" si="1"/>
        <v>49.96587575</v>
      </c>
    </row>
    <row r="4">
      <c r="A4" s="11">
        <v>105.0</v>
      </c>
      <c r="B4" s="12">
        <v>119.93294220322456</v>
      </c>
      <c r="C4" s="13">
        <f t="shared" si="1"/>
        <v>52.52935419</v>
      </c>
    </row>
    <row r="5">
      <c r="A5" s="11">
        <v>70.0</v>
      </c>
      <c r="B5" s="12">
        <v>143.50290702902325</v>
      </c>
      <c r="C5" s="13">
        <f t="shared" si="1"/>
        <v>29.26769978</v>
      </c>
    </row>
    <row r="6">
      <c r="A6" s="11">
        <v>120.0</v>
      </c>
      <c r="B6" s="12">
        <v>115.85278257454229</v>
      </c>
      <c r="C6" s="13">
        <f t="shared" si="1"/>
        <v>62.14783832</v>
      </c>
    </row>
    <row r="7">
      <c r="A7" s="11">
        <v>85.0</v>
      </c>
      <c r="B7" s="12">
        <v>118.97834811618638</v>
      </c>
      <c r="C7" s="13">
        <f t="shared" si="1"/>
        <v>42.86494207</v>
      </c>
    </row>
    <row r="8">
      <c r="A8" s="11">
        <v>38.0</v>
      </c>
      <c r="B8" s="12">
        <v>42.70946338722203</v>
      </c>
      <c r="C8" s="13">
        <f t="shared" si="1"/>
        <v>53.38395333</v>
      </c>
    </row>
    <row r="9">
      <c r="A9" s="11">
        <v>26.0</v>
      </c>
      <c r="B9" s="12">
        <v>36.20581609008828</v>
      </c>
      <c r="C9" s="13">
        <f t="shared" si="1"/>
        <v>43.08700006</v>
      </c>
    </row>
    <row r="10">
      <c r="A10" s="11">
        <v>24.0</v>
      </c>
      <c r="B10" s="12">
        <v>30.58692312842119</v>
      </c>
      <c r="C10" s="13">
        <f t="shared" si="1"/>
        <v>47.07894266</v>
      </c>
    </row>
    <row r="11">
      <c r="A11" s="11">
        <v>21.0</v>
      </c>
      <c r="B11" s="12">
        <v>37.637345636428705</v>
      </c>
      <c r="C11" s="13">
        <f t="shared" si="1"/>
        <v>33.47738738</v>
      </c>
    </row>
    <row r="12">
      <c r="A12" s="11">
        <v>33.0</v>
      </c>
      <c r="B12" s="12">
        <v>39.14224596020674</v>
      </c>
      <c r="C12" s="13">
        <f t="shared" si="1"/>
        <v>50.58473144</v>
      </c>
    </row>
    <row r="13">
      <c r="A13" s="11">
        <v>32.0</v>
      </c>
      <c r="B13" s="12">
        <v>35.80979647076947</v>
      </c>
      <c r="C13" s="13">
        <f t="shared" si="1"/>
        <v>53.61661303</v>
      </c>
    </row>
    <row r="14">
      <c r="A14" s="11">
        <v>52.0</v>
      </c>
      <c r="B14" s="12">
        <v>79.45917126672602</v>
      </c>
      <c r="C14" s="13">
        <f t="shared" si="1"/>
        <v>39.26544853</v>
      </c>
    </row>
    <row r="15">
      <c r="A15" s="11">
        <v>36.0</v>
      </c>
      <c r="B15" s="12">
        <v>56.28034239356151</v>
      </c>
      <c r="C15" s="13">
        <f t="shared" si="1"/>
        <v>38.37929743</v>
      </c>
    </row>
    <row r="16">
      <c r="A16" s="11">
        <v>53.0</v>
      </c>
      <c r="B16" s="12">
        <v>56.01426498490198</v>
      </c>
      <c r="C16" s="13">
        <f t="shared" si="1"/>
        <v>56.77125284</v>
      </c>
    </row>
    <row r="17">
      <c r="A17" s="11">
        <v>18.0</v>
      </c>
      <c r="B17" s="12">
        <v>20.284410659920464</v>
      </c>
      <c r="C17" s="13">
        <f t="shared" si="1"/>
        <v>53.24285818</v>
      </c>
    </row>
    <row r="18">
      <c r="A18" s="11">
        <v>13.0</v>
      </c>
      <c r="B18" s="12">
        <v>14.899161503880936</v>
      </c>
      <c r="C18" s="13">
        <f t="shared" si="1"/>
        <v>52.35193939</v>
      </c>
    </row>
    <row r="19">
      <c r="A19" s="11">
        <v>68.0</v>
      </c>
      <c r="B19" s="12">
        <v>97.8691982602061</v>
      </c>
      <c r="C19" s="13">
        <f t="shared" si="1"/>
        <v>41.68829491</v>
      </c>
    </row>
    <row r="20">
      <c r="A20" s="11">
        <v>77.0</v>
      </c>
      <c r="B20" s="12">
        <v>71.03709122471871</v>
      </c>
      <c r="C20" s="13">
        <f t="shared" si="1"/>
        <v>65.03644674</v>
      </c>
    </row>
    <row r="21">
      <c r="A21" s="11">
        <v>66.0</v>
      </c>
      <c r="B21" s="12">
        <v>73.0318659319759</v>
      </c>
      <c r="C21" s="13">
        <f t="shared" si="1"/>
        <v>54.22290598</v>
      </c>
    </row>
    <row r="22">
      <c r="A22" s="11">
        <v>51.0</v>
      </c>
      <c r="B22" s="12">
        <v>56.476416722727755</v>
      </c>
      <c r="C22" s="13">
        <f t="shared" si="1"/>
        <v>54.18190773</v>
      </c>
    </row>
    <row r="23">
      <c r="A23" s="11">
        <v>94.0</v>
      </c>
      <c r="B23" s="12">
        <v>90.1068700829291</v>
      </c>
      <c r="C23" s="13">
        <f t="shared" si="1"/>
        <v>62.59234168</v>
      </c>
    </row>
    <row r="24">
      <c r="A24" s="11">
        <v>51.0</v>
      </c>
      <c r="B24" s="12">
        <v>52.313616969296085</v>
      </c>
      <c r="C24" s="13">
        <f t="shared" si="1"/>
        <v>58.49337471</v>
      </c>
    </row>
    <row r="25">
      <c r="A25" s="11">
        <v>99.0</v>
      </c>
      <c r="B25" s="12">
        <v>113.14373819057361</v>
      </c>
      <c r="C25" s="13">
        <f t="shared" si="1"/>
        <v>52.49959118</v>
      </c>
    </row>
    <row r="26">
      <c r="A26" s="11">
        <v>44.0</v>
      </c>
      <c r="B26" s="12">
        <v>56.490407013023024</v>
      </c>
      <c r="C26" s="13">
        <f t="shared" si="1"/>
        <v>46.73359849</v>
      </c>
    </row>
    <row r="27">
      <c r="A27" s="11">
        <v>50.0</v>
      </c>
      <c r="B27" s="12">
        <v>183.00921655396036</v>
      </c>
      <c r="C27" s="13">
        <f t="shared" si="1"/>
        <v>16.39261703</v>
      </c>
    </row>
    <row r="28">
      <c r="A28" s="11">
        <v>11.0</v>
      </c>
      <c r="B28" s="12">
        <v>10.33941062879018</v>
      </c>
      <c r="C28" s="13">
        <f t="shared" si="1"/>
        <v>63.83342569</v>
      </c>
    </row>
    <row r="29">
      <c r="A29" s="11">
        <v>87.0</v>
      </c>
      <c r="B29" s="12">
        <v>98.13853923941528</v>
      </c>
      <c r="C29" s="13">
        <f t="shared" si="1"/>
        <v>53.19011308</v>
      </c>
    </row>
    <row r="30">
      <c r="A30" s="11">
        <v>55.0</v>
      </c>
      <c r="B30" s="12">
        <v>50.49638685486087</v>
      </c>
      <c r="C30" s="13">
        <f t="shared" si="1"/>
        <v>65.35121036</v>
      </c>
    </row>
    <row r="31">
      <c r="A31" s="11">
        <v>21.0</v>
      </c>
      <c r="B31" s="12">
        <v>22.54726923254712</v>
      </c>
      <c r="C31" s="13">
        <f t="shared" si="1"/>
        <v>55.88259878</v>
      </c>
    </row>
    <row r="32">
      <c r="A32" s="11">
        <v>33.0</v>
      </c>
      <c r="B32" s="12">
        <v>43.593943843048315</v>
      </c>
      <c r="C32" s="13">
        <f t="shared" si="1"/>
        <v>45.41915288</v>
      </c>
    </row>
    <row r="33">
      <c r="A33" s="11">
        <v>96.0</v>
      </c>
      <c r="B33" s="12">
        <v>140.1008199574476</v>
      </c>
      <c r="C33" s="13">
        <f t="shared" si="1"/>
        <v>41.11324974</v>
      </c>
    </row>
    <row r="34">
      <c r="A34" s="11">
        <v>16.0</v>
      </c>
      <c r="B34" s="12">
        <v>18.88726122749047</v>
      </c>
      <c r="C34" s="13">
        <f t="shared" si="1"/>
        <v>50.82790927</v>
      </c>
    </row>
    <row r="35">
      <c r="A35" s="11">
        <v>103.0</v>
      </c>
      <c r="B35" s="12">
        <v>148.92368106835082</v>
      </c>
      <c r="C35" s="13">
        <f t="shared" si="1"/>
        <v>41.49776554</v>
      </c>
    </row>
    <row r="36">
      <c r="A36" s="11">
        <v>21.0</v>
      </c>
      <c r="B36" s="12">
        <v>33.29659813624804</v>
      </c>
      <c r="C36" s="13">
        <f t="shared" si="1"/>
        <v>37.84170367</v>
      </c>
    </row>
    <row r="37">
      <c r="A37" s="11">
        <v>43.0</v>
      </c>
      <c r="B37" s="12">
        <v>65.89485622923566</v>
      </c>
      <c r="C37" s="13">
        <f t="shared" si="1"/>
        <v>39.1532837</v>
      </c>
    </row>
    <row r="38">
      <c r="A38" s="11">
        <v>72.0</v>
      </c>
      <c r="B38" s="12">
        <v>85.51959303319222</v>
      </c>
      <c r="C38" s="13">
        <f t="shared" si="1"/>
        <v>50.51473992</v>
      </c>
    </row>
    <row r="39">
      <c r="A39" s="11">
        <v>64.0</v>
      </c>
      <c r="B39" s="12">
        <v>64.9063047624558</v>
      </c>
      <c r="C39" s="13">
        <f t="shared" si="1"/>
        <v>59.16220333</v>
      </c>
    </row>
    <row r="40">
      <c r="A40" s="11">
        <v>18.0</v>
      </c>
      <c r="B40" s="12">
        <v>21.361992361015773</v>
      </c>
      <c r="C40" s="13">
        <f t="shared" si="1"/>
        <v>50.55708202</v>
      </c>
    </row>
    <row r="41">
      <c r="A41" s="11">
        <v>43.0</v>
      </c>
      <c r="B41" s="12">
        <v>71.50068238650393</v>
      </c>
      <c r="C41" s="13">
        <f t="shared" si="1"/>
        <v>36.08357171</v>
      </c>
    </row>
    <row r="42">
      <c r="A42" s="11">
        <v>72.0</v>
      </c>
      <c r="B42" s="12">
        <v>85.71741696325765</v>
      </c>
      <c r="C42" s="13">
        <f t="shared" si="1"/>
        <v>50.39815889</v>
      </c>
    </row>
    <row r="43">
      <c r="A43" s="11">
        <v>26.0</v>
      </c>
      <c r="B43" s="12">
        <v>34.820756554380395</v>
      </c>
      <c r="C43" s="13">
        <f t="shared" si="1"/>
        <v>44.80086461</v>
      </c>
    </row>
    <row r="44">
      <c r="A44" s="11">
        <v>60.0</v>
      </c>
      <c r="B44" s="12">
        <v>79.25158868272511</v>
      </c>
      <c r="C44" s="13">
        <f t="shared" si="1"/>
        <v>45.4249569</v>
      </c>
    </row>
    <row r="45">
      <c r="A45" s="11">
        <v>45.0</v>
      </c>
      <c r="B45" s="12">
        <v>63.173735312116186</v>
      </c>
      <c r="C45" s="13">
        <f t="shared" si="1"/>
        <v>42.7392806</v>
      </c>
    </row>
    <row r="46">
      <c r="A46" s="11">
        <v>100.0</v>
      </c>
      <c r="B46" s="12">
        <v>111.65420337011747</v>
      </c>
      <c r="C46" s="13">
        <f t="shared" si="1"/>
        <v>53.73734099</v>
      </c>
    </row>
    <row r="47">
      <c r="A47" s="11">
        <v>78.0</v>
      </c>
      <c r="B47" s="12">
        <v>89.87636553434234</v>
      </c>
      <c r="C47" s="13">
        <f t="shared" si="1"/>
        <v>52.07153151</v>
      </c>
    </row>
    <row r="48">
      <c r="A48" s="11">
        <v>60.0</v>
      </c>
      <c r="B48" s="12">
        <v>80.16182993399713</v>
      </c>
      <c r="C48" s="13">
        <f t="shared" si="1"/>
        <v>44.90915443</v>
      </c>
    </row>
    <row r="49">
      <c r="A49" s="11">
        <v>71.0</v>
      </c>
      <c r="B49" s="12">
        <v>67.1409344287175</v>
      </c>
      <c r="C49" s="13">
        <f t="shared" si="1"/>
        <v>63.44862544</v>
      </c>
    </row>
    <row r="50">
      <c r="A50" s="11">
        <v>108.0</v>
      </c>
      <c r="B50" s="12">
        <v>98.62656137349894</v>
      </c>
      <c r="C50" s="13">
        <f t="shared" si="1"/>
        <v>65.70238189</v>
      </c>
    </row>
    <row r="51">
      <c r="A51" s="11">
        <v>37.0</v>
      </c>
      <c r="B51" s="12">
        <v>47.07537339305157</v>
      </c>
      <c r="C51" s="13">
        <f t="shared" si="1"/>
        <v>47.15841511</v>
      </c>
    </row>
    <row r="52">
      <c r="A52" s="11">
        <v>23.0</v>
      </c>
      <c r="B52" s="12">
        <v>27.353573676582158</v>
      </c>
      <c r="C52" s="13">
        <f t="shared" si="1"/>
        <v>50.4504463</v>
      </c>
    </row>
    <row r="53">
      <c r="A53" s="11">
        <v>69.0</v>
      </c>
      <c r="B53" s="12">
        <v>99.4711680008477</v>
      </c>
      <c r="C53" s="13">
        <f t="shared" si="1"/>
        <v>41.62010041</v>
      </c>
    </row>
    <row r="54">
      <c r="A54" s="11">
        <v>89.0</v>
      </c>
      <c r="B54" s="12">
        <v>116.6772279528957</v>
      </c>
      <c r="C54" s="13">
        <f t="shared" si="1"/>
        <v>45.76728547</v>
      </c>
    </row>
    <row r="55">
      <c r="A55" s="11">
        <v>107.0</v>
      </c>
      <c r="B55" s="12">
        <v>117.586003447458</v>
      </c>
      <c r="C55" s="13">
        <f t="shared" si="1"/>
        <v>54.59833494</v>
      </c>
    </row>
    <row r="56">
      <c r="A56" s="11">
        <v>48.0</v>
      </c>
      <c r="B56" s="12">
        <v>52.03776990317688</v>
      </c>
      <c r="C56" s="13">
        <f t="shared" si="1"/>
        <v>55.34441628</v>
      </c>
    </row>
    <row r="57">
      <c r="A57" s="11">
        <v>87.0</v>
      </c>
      <c r="B57" s="12">
        <v>117.42635001762002</v>
      </c>
      <c r="C57" s="13">
        <f t="shared" si="1"/>
        <v>44.45339567</v>
      </c>
    </row>
    <row r="58">
      <c r="A58" s="11">
        <v>50.0</v>
      </c>
      <c r="B58" s="12">
        <v>157.53637702597203</v>
      </c>
      <c r="C58" s="13">
        <f t="shared" si="1"/>
        <v>19.04322073</v>
      </c>
    </row>
    <row r="59">
      <c r="A59" s="11">
        <v>82.0</v>
      </c>
      <c r="B59" s="12">
        <v>105.64035360470677</v>
      </c>
      <c r="C59" s="13">
        <f t="shared" si="1"/>
        <v>46.57311181</v>
      </c>
    </row>
    <row r="60">
      <c r="A60" s="11">
        <v>26.0</v>
      </c>
      <c r="B60" s="12">
        <v>32.29391017970047</v>
      </c>
      <c r="C60" s="13">
        <f t="shared" si="1"/>
        <v>48.30632126</v>
      </c>
    </row>
    <row r="61">
      <c r="A61" s="11">
        <v>69.0</v>
      </c>
      <c r="B61" s="12">
        <v>67.9932071684524</v>
      </c>
      <c r="C61" s="13">
        <f t="shared" si="1"/>
        <v>60.88843537</v>
      </c>
    </row>
    <row r="62">
      <c r="A62" s="11">
        <v>76.0</v>
      </c>
      <c r="B62" s="12">
        <v>76.36949154280076</v>
      </c>
      <c r="C62" s="13">
        <f t="shared" si="1"/>
        <v>59.70970747</v>
      </c>
    </row>
    <row r="63">
      <c r="A63" s="11">
        <v>50.0</v>
      </c>
      <c r="B63" s="12">
        <v>50.81395161783691</v>
      </c>
      <c r="C63" s="13">
        <f t="shared" si="1"/>
        <v>59.03890378</v>
      </c>
    </row>
    <row r="64">
      <c r="A64" s="11">
        <v>63.0</v>
      </c>
      <c r="B64" s="12">
        <v>73.59366155772165</v>
      </c>
      <c r="C64" s="13">
        <f t="shared" si="1"/>
        <v>51.36311905</v>
      </c>
    </row>
    <row r="65">
      <c r="A65" s="11">
        <v>100.0</v>
      </c>
      <c r="B65" s="12">
        <v>135.7837958252793</v>
      </c>
      <c r="C65" s="13">
        <f t="shared" si="1"/>
        <v>44.18789417</v>
      </c>
    </row>
    <row r="66">
      <c r="A66" s="11">
        <v>93.0</v>
      </c>
      <c r="B66" s="12">
        <v>109.88102265420541</v>
      </c>
      <c r="C66" s="13">
        <f t="shared" si="1"/>
        <v>50.78219938</v>
      </c>
    </row>
    <row r="67">
      <c r="A67" s="11">
        <v>83.0</v>
      </c>
      <c r="B67" s="12">
        <v>112.1537092410547</v>
      </c>
      <c r="C67" s="13">
        <f t="shared" si="1"/>
        <v>44.40334639</v>
      </c>
    </row>
    <row r="68">
      <c r="A68" s="11">
        <v>90.0</v>
      </c>
      <c r="B68" s="12">
        <v>121.55426895723436</v>
      </c>
      <c r="C68" s="13">
        <f t="shared" si="1"/>
        <v>44.42460184</v>
      </c>
    </row>
    <row r="69">
      <c r="A69" s="11">
        <v>89.0</v>
      </c>
      <c r="B69" s="12">
        <v>120.98179403767324</v>
      </c>
      <c r="C69" s="13">
        <f t="shared" si="1"/>
        <v>44.13887265</v>
      </c>
    </row>
    <row r="70">
      <c r="A70" s="11">
        <v>117.0</v>
      </c>
      <c r="B70" s="12">
        <v>120.39637280815828</v>
      </c>
      <c r="C70" s="13">
        <f t="shared" si="1"/>
        <v>58.30740442</v>
      </c>
    </row>
    <row r="71">
      <c r="A71" s="11">
        <v>66.0</v>
      </c>
      <c r="B71" s="12">
        <v>61.27353957892287</v>
      </c>
      <c r="C71" s="13">
        <f t="shared" si="1"/>
        <v>64.62822333</v>
      </c>
    </row>
    <row r="72">
      <c r="A72" s="11">
        <v>24.0</v>
      </c>
      <c r="B72" s="12">
        <v>40.57964990495043</v>
      </c>
      <c r="C72" s="13">
        <f t="shared" si="1"/>
        <v>35.48576696</v>
      </c>
    </row>
    <row r="73">
      <c r="A73" s="11">
        <v>10.0</v>
      </c>
      <c r="B73" s="12">
        <v>12.448425380292813</v>
      </c>
      <c r="C73" s="13">
        <f t="shared" si="1"/>
        <v>48.19886706</v>
      </c>
    </row>
    <row r="74">
      <c r="A74" s="11">
        <v>33.0</v>
      </c>
      <c r="B74" s="12">
        <v>45.65463761618394</v>
      </c>
      <c r="C74" s="13">
        <f t="shared" si="1"/>
        <v>43.36908808</v>
      </c>
    </row>
    <row r="75">
      <c r="A75" s="11">
        <v>26.0</v>
      </c>
      <c r="B75" s="12">
        <v>54.98880274548296</v>
      </c>
      <c r="C75" s="13">
        <f t="shared" si="1"/>
        <v>28.36941199</v>
      </c>
    </row>
    <row r="76">
      <c r="A76" s="11">
        <v>115.0</v>
      </c>
      <c r="B76" s="12">
        <v>257.278941036937</v>
      </c>
      <c r="C76" s="13">
        <f t="shared" si="1"/>
        <v>26.81914024</v>
      </c>
    </row>
    <row r="77">
      <c r="A77" s="11">
        <v>32.0</v>
      </c>
      <c r="B77" s="12">
        <v>31.85864343895624</v>
      </c>
      <c r="C77" s="13">
        <f t="shared" si="1"/>
        <v>60.26621955</v>
      </c>
    </row>
    <row r="78">
      <c r="A78" s="11">
        <v>99.0</v>
      </c>
      <c r="B78" s="12">
        <v>135.21651748584415</v>
      </c>
      <c r="C78" s="13">
        <f t="shared" si="1"/>
        <v>43.92954434</v>
      </c>
    </row>
    <row r="79">
      <c r="A79" s="11">
        <v>51.0</v>
      </c>
      <c r="B79" s="12">
        <v>83.09246797361305</v>
      </c>
      <c r="C79" s="13">
        <f t="shared" si="1"/>
        <v>36.82644257</v>
      </c>
    </row>
    <row r="80">
      <c r="A80" s="11">
        <v>116.0</v>
      </c>
      <c r="B80" s="12">
        <v>198.2105465207341</v>
      </c>
      <c r="C80" s="13">
        <f t="shared" si="1"/>
        <v>35.11417592</v>
      </c>
    </row>
    <row r="81">
      <c r="A81" s="11">
        <v>105.0</v>
      </c>
      <c r="B81" s="12">
        <v>110.90085055115341</v>
      </c>
      <c r="C81" s="13">
        <f t="shared" si="1"/>
        <v>56.80749939</v>
      </c>
    </row>
    <row r="82">
      <c r="A82" s="11">
        <v>94.0</v>
      </c>
      <c r="B82" s="12">
        <v>105.25843114993096</v>
      </c>
      <c r="C82" s="13">
        <f t="shared" si="1"/>
        <v>53.58240607</v>
      </c>
    </row>
    <row r="83">
      <c r="A83" s="11">
        <v>114.0</v>
      </c>
      <c r="B83" s="12">
        <v>110.14836142303851</v>
      </c>
      <c r="C83" s="13">
        <f t="shared" si="1"/>
        <v>62.09806403</v>
      </c>
    </row>
    <row r="84">
      <c r="A84" s="11">
        <v>65.0</v>
      </c>
      <c r="B84" s="12">
        <v>69.17485554619942</v>
      </c>
      <c r="C84" s="13">
        <f t="shared" si="1"/>
        <v>56.37886728</v>
      </c>
    </row>
    <row r="85">
      <c r="A85" s="11">
        <v>81.0</v>
      </c>
      <c r="B85" s="12">
        <v>100.51490418133628</v>
      </c>
      <c r="C85" s="13">
        <f t="shared" si="1"/>
        <v>48.35103848</v>
      </c>
    </row>
    <row r="86">
      <c r="A86" s="11">
        <v>113.0</v>
      </c>
      <c r="B86" s="12">
        <v>165.74904016594718</v>
      </c>
      <c r="C86" s="13">
        <f t="shared" si="1"/>
        <v>40.90521425</v>
      </c>
    </row>
    <row r="87">
      <c r="A87" s="11">
        <v>119.0</v>
      </c>
      <c r="B87" s="12">
        <v>124.14527211055454</v>
      </c>
      <c r="C87" s="13">
        <f t="shared" si="1"/>
        <v>57.51326554</v>
      </c>
    </row>
    <row r="88">
      <c r="A88" s="11">
        <v>100.0</v>
      </c>
      <c r="B88" s="12">
        <v>104.94594524115969</v>
      </c>
      <c r="C88" s="13">
        <f t="shared" si="1"/>
        <v>57.17228985</v>
      </c>
    </row>
    <row r="89">
      <c r="A89" s="11">
        <v>24.0</v>
      </c>
      <c r="B89" s="12">
        <v>21.115605081939194</v>
      </c>
      <c r="C89" s="13">
        <f t="shared" si="1"/>
        <v>68.19600927</v>
      </c>
    </row>
    <row r="90">
      <c r="A90" s="11">
        <v>76.0</v>
      </c>
      <c r="B90" s="12">
        <v>88.57503345378814</v>
      </c>
      <c r="C90" s="13">
        <f t="shared" si="1"/>
        <v>51.48177564</v>
      </c>
    </row>
    <row r="91">
      <c r="A91" s="11">
        <v>66.0</v>
      </c>
      <c r="B91" s="12">
        <v>94.60631383347078</v>
      </c>
      <c r="C91" s="13">
        <f t="shared" si="1"/>
        <v>41.85767143</v>
      </c>
    </row>
    <row r="92">
      <c r="A92" s="11">
        <v>81.0</v>
      </c>
      <c r="B92" s="12">
        <v>98.52758571636679</v>
      </c>
      <c r="C92" s="13">
        <f t="shared" si="1"/>
        <v>49.3262873</v>
      </c>
    </row>
    <row r="93">
      <c r="A93" s="11">
        <v>29.0</v>
      </c>
      <c r="B93" s="12">
        <v>61.7729064804143</v>
      </c>
      <c r="C93" s="13">
        <f t="shared" si="1"/>
        <v>28.1676887</v>
      </c>
    </row>
    <row r="94">
      <c r="A94" s="11">
        <v>76.0</v>
      </c>
      <c r="B94" s="12">
        <v>115.7642078540642</v>
      </c>
      <c r="C94" s="13">
        <f t="shared" si="1"/>
        <v>39.39041336</v>
      </c>
    </row>
    <row r="95">
      <c r="A95" s="11">
        <v>40.0</v>
      </c>
      <c r="B95" s="12">
        <v>57.22317594289843</v>
      </c>
      <c r="C95" s="13">
        <f t="shared" si="1"/>
        <v>41.94104854</v>
      </c>
    </row>
    <row r="96">
      <c r="A96" s="11">
        <v>84.0</v>
      </c>
      <c r="B96" s="12">
        <v>164.8187180033077</v>
      </c>
      <c r="C96" s="13">
        <f t="shared" si="1"/>
        <v>30.5790511</v>
      </c>
    </row>
    <row r="97">
      <c r="A97" s="11">
        <v>48.0</v>
      </c>
      <c r="B97" s="12">
        <v>52.36860063874369</v>
      </c>
      <c r="C97" s="13">
        <f t="shared" si="1"/>
        <v>54.99478628</v>
      </c>
    </row>
    <row r="98">
      <c r="A98" s="11">
        <v>54.0</v>
      </c>
      <c r="B98" s="12">
        <v>57.19223343397416</v>
      </c>
      <c r="C98" s="13">
        <f t="shared" si="1"/>
        <v>56.65104867</v>
      </c>
    </row>
    <row r="99">
      <c r="A99" s="11">
        <v>45.0</v>
      </c>
      <c r="B99" s="12">
        <v>76.82014118015873</v>
      </c>
      <c r="C99" s="13">
        <f t="shared" si="1"/>
        <v>35.14703252</v>
      </c>
    </row>
    <row r="100">
      <c r="A100" s="11">
        <v>48.0</v>
      </c>
      <c r="B100" s="12">
        <v>76.90909032119654</v>
      </c>
      <c r="C100" s="13">
        <f t="shared" si="1"/>
        <v>37.4468088</v>
      </c>
    </row>
    <row r="101">
      <c r="A101" s="11">
        <v>119.0</v>
      </c>
      <c r="B101" s="12">
        <v>129.14913961922676</v>
      </c>
      <c r="C101" s="13">
        <f t="shared" si="1"/>
        <v>55.28492115</v>
      </c>
    </row>
    <row r="102">
      <c r="A102" s="11">
        <v>11.0</v>
      </c>
      <c r="B102" s="12">
        <v>15.266417053127029</v>
      </c>
      <c r="C102" s="13">
        <f t="shared" si="1"/>
        <v>43.2321479</v>
      </c>
    </row>
    <row r="103">
      <c r="A103" s="11">
        <v>55.0</v>
      </c>
      <c r="B103" s="12">
        <v>59.66460571350002</v>
      </c>
      <c r="C103" s="13">
        <f t="shared" si="1"/>
        <v>55.30917301</v>
      </c>
    </row>
    <row r="104">
      <c r="A104" s="11">
        <v>112.0</v>
      </c>
      <c r="B104" s="12">
        <v>101.23702549547758</v>
      </c>
      <c r="C104" s="13">
        <f t="shared" si="1"/>
        <v>66.37887638</v>
      </c>
    </row>
    <row r="105">
      <c r="A105" s="11">
        <v>75.0</v>
      </c>
      <c r="B105" s="12">
        <v>118.78468650752069</v>
      </c>
      <c r="C105" s="13">
        <f t="shared" si="1"/>
        <v>37.88367114</v>
      </c>
    </row>
    <row r="106">
      <c r="A106" s="11">
        <v>85.0</v>
      </c>
      <c r="B106" s="12">
        <v>107.08315851828944</v>
      </c>
      <c r="C106" s="13">
        <f t="shared" si="1"/>
        <v>47.62653689</v>
      </c>
    </row>
    <row r="107">
      <c r="A107" s="11">
        <v>36.0</v>
      </c>
      <c r="B107" s="12">
        <v>40.1215897206319</v>
      </c>
      <c r="C107" s="13">
        <f t="shared" si="1"/>
        <v>53.83635133</v>
      </c>
    </row>
    <row r="108">
      <c r="A108" s="11">
        <v>64.0</v>
      </c>
      <c r="B108" s="12">
        <v>73.99252162254784</v>
      </c>
      <c r="C108" s="13">
        <f t="shared" si="1"/>
        <v>51.89713657</v>
      </c>
    </row>
    <row r="109">
      <c r="A109" s="11">
        <v>56.0</v>
      </c>
      <c r="B109" s="12">
        <v>134.69724016059965</v>
      </c>
      <c r="C109" s="13">
        <f t="shared" si="1"/>
        <v>24.9448318</v>
      </c>
    </row>
    <row r="110">
      <c r="A110" s="11">
        <v>60.0</v>
      </c>
      <c r="B110" s="12">
        <v>70.0455907949978</v>
      </c>
      <c r="C110" s="13">
        <f t="shared" si="1"/>
        <v>51.39509795</v>
      </c>
    </row>
    <row r="111">
      <c r="A111" s="11">
        <v>84.0</v>
      </c>
      <c r="B111" s="12">
        <v>98.98188418941442</v>
      </c>
      <c r="C111" s="13">
        <f t="shared" si="1"/>
        <v>50.91840837</v>
      </c>
    </row>
    <row r="112">
      <c r="A112" s="11">
        <v>97.0</v>
      </c>
      <c r="B112" s="12">
        <v>293.52944315905967</v>
      </c>
      <c r="C112" s="13">
        <f t="shared" si="1"/>
        <v>19.82765319</v>
      </c>
    </row>
    <row r="113">
      <c r="A113" s="11">
        <v>104.0</v>
      </c>
      <c r="B113" s="12">
        <v>145.70637701930417</v>
      </c>
      <c r="C113" s="13">
        <f t="shared" si="1"/>
        <v>42.8258538</v>
      </c>
    </row>
    <row r="114">
      <c r="A114" s="11">
        <v>94.0</v>
      </c>
      <c r="B114" s="12">
        <v>100.32201275830863</v>
      </c>
      <c r="C114" s="13">
        <f t="shared" si="1"/>
        <v>56.21896775</v>
      </c>
    </row>
    <row r="115">
      <c r="A115" s="11">
        <v>88.0</v>
      </c>
      <c r="B115" s="12">
        <v>109.15052785691016</v>
      </c>
      <c r="C115" s="13">
        <f t="shared" si="1"/>
        <v>48.37356359</v>
      </c>
    </row>
    <row r="116">
      <c r="A116" s="11">
        <v>51.0</v>
      </c>
      <c r="B116" s="12">
        <v>70.44117457732908</v>
      </c>
      <c r="C116" s="13">
        <f t="shared" si="1"/>
        <v>43.44050221</v>
      </c>
    </row>
    <row r="117">
      <c r="A117" s="11">
        <v>59.0</v>
      </c>
      <c r="B117" s="12">
        <v>72.06735222195874</v>
      </c>
      <c r="C117" s="13">
        <f t="shared" si="1"/>
        <v>49.12071681</v>
      </c>
    </row>
    <row r="118">
      <c r="A118" s="11">
        <v>24.0</v>
      </c>
      <c r="B118" s="12">
        <v>28.282450312546118</v>
      </c>
      <c r="C118" s="13">
        <f t="shared" si="1"/>
        <v>50.91496614</v>
      </c>
    </row>
    <row r="119">
      <c r="A119" s="11">
        <v>30.0</v>
      </c>
      <c r="B119" s="12">
        <v>30.893788530308797</v>
      </c>
      <c r="C119" s="13">
        <f t="shared" si="1"/>
        <v>58.26413935</v>
      </c>
    </row>
    <row r="120">
      <c r="A120" s="11">
        <v>73.0</v>
      </c>
      <c r="B120" s="12">
        <v>82.33675914362252</v>
      </c>
      <c r="C120" s="13">
        <f t="shared" si="1"/>
        <v>53.19616713</v>
      </c>
    </row>
    <row r="121">
      <c r="A121" s="11">
        <v>65.0</v>
      </c>
      <c r="B121" s="12">
        <v>89.82240830162257</v>
      </c>
      <c r="C121" s="13">
        <f t="shared" si="1"/>
        <v>43.41900951</v>
      </c>
    </row>
    <row r="122">
      <c r="A122" s="11">
        <v>100.0</v>
      </c>
      <c r="B122" s="12">
        <v>132.69461390942064</v>
      </c>
      <c r="C122" s="13">
        <f t="shared" si="1"/>
        <v>45.21660543</v>
      </c>
    </row>
    <row r="123">
      <c r="A123" s="11">
        <v>78.0</v>
      </c>
      <c r="B123" s="12">
        <v>119.59714441746615</v>
      </c>
      <c r="C123" s="13">
        <f t="shared" si="1"/>
        <v>39.13136909</v>
      </c>
    </row>
    <row r="124">
      <c r="A124" s="11">
        <v>20.0</v>
      </c>
      <c r="B124" s="12">
        <v>18.414685952014974</v>
      </c>
      <c r="C124" s="13">
        <f t="shared" si="1"/>
        <v>65.16537958</v>
      </c>
    </row>
    <row r="125">
      <c r="A125" s="11">
        <v>109.0</v>
      </c>
      <c r="B125" s="12">
        <v>174.40157442176255</v>
      </c>
      <c r="C125" s="13">
        <f t="shared" si="1"/>
        <v>37.49966147</v>
      </c>
    </row>
    <row r="126">
      <c r="A126" s="11">
        <v>14.0</v>
      </c>
      <c r="B126" s="12">
        <v>17.11801967728843</v>
      </c>
      <c r="C126" s="13">
        <f t="shared" si="1"/>
        <v>49.07109676</v>
      </c>
    </row>
    <row r="127">
      <c r="A127" s="11">
        <v>18.0</v>
      </c>
      <c r="B127" s="12">
        <v>16.349378729681067</v>
      </c>
      <c r="C127" s="13">
        <f t="shared" si="1"/>
        <v>66.05755594</v>
      </c>
    </row>
    <row r="128">
      <c r="A128" s="11">
        <v>15.0</v>
      </c>
      <c r="B128" s="12">
        <v>14.958936316617164</v>
      </c>
      <c r="C128" s="13">
        <f t="shared" si="1"/>
        <v>60.16470563</v>
      </c>
    </row>
    <row r="129">
      <c r="A129" s="11">
        <v>109.0</v>
      </c>
      <c r="B129" s="12">
        <v>209.4134829424487</v>
      </c>
      <c r="C129" s="13">
        <f t="shared" si="1"/>
        <v>31.23008083</v>
      </c>
    </row>
    <row r="130">
      <c r="A130" s="11">
        <v>25.0</v>
      </c>
      <c r="B130" s="12">
        <v>25.89043734393938</v>
      </c>
      <c r="C130" s="13">
        <f t="shared" si="1"/>
        <v>57.93644889</v>
      </c>
    </row>
    <row r="131">
      <c r="A131" s="11">
        <v>33.0</v>
      </c>
      <c r="B131" s="12">
        <v>36.924266542745265</v>
      </c>
      <c r="C131" s="13">
        <f t="shared" si="1"/>
        <v>53.62327232</v>
      </c>
    </row>
    <row r="132">
      <c r="A132" s="11">
        <v>52.0</v>
      </c>
      <c r="B132" s="12">
        <v>52.69307321375132</v>
      </c>
      <c r="C132" s="13">
        <f t="shared" si="1"/>
        <v>59.21081861</v>
      </c>
    </row>
    <row r="133">
      <c r="A133" s="11">
        <v>120.0</v>
      </c>
      <c r="B133" s="12">
        <v>209.92154950762614</v>
      </c>
      <c r="C133" s="13">
        <f t="shared" si="1"/>
        <v>34.29852732</v>
      </c>
    </row>
    <row r="134">
      <c r="A134" s="11">
        <v>50.0</v>
      </c>
      <c r="B134" s="12">
        <v>61.9682242697451</v>
      </c>
      <c r="C134" s="13">
        <f t="shared" si="1"/>
        <v>48.41190845</v>
      </c>
    </row>
    <row r="135">
      <c r="A135" s="11">
        <v>104.0</v>
      </c>
      <c r="B135" s="12">
        <v>157.5688514965347</v>
      </c>
      <c r="C135" s="13">
        <f t="shared" si="1"/>
        <v>39.60173563</v>
      </c>
    </row>
    <row r="136">
      <c r="A136" s="11">
        <v>20.0</v>
      </c>
      <c r="B136" s="12">
        <v>24.158668074239237</v>
      </c>
      <c r="C136" s="13">
        <f t="shared" si="1"/>
        <v>49.67161254</v>
      </c>
    </row>
    <row r="137">
      <c r="A137" s="11">
        <v>34.0</v>
      </c>
      <c r="B137" s="12">
        <v>137.81234144539079</v>
      </c>
      <c r="C137" s="13">
        <f t="shared" si="1"/>
        <v>14.80273812</v>
      </c>
    </row>
    <row r="138">
      <c r="A138" s="11">
        <v>85.0</v>
      </c>
      <c r="B138" s="12">
        <v>76.36897161402834</v>
      </c>
      <c r="C138" s="13">
        <f t="shared" si="1"/>
        <v>66.78104854</v>
      </c>
    </row>
    <row r="139">
      <c r="A139" s="11">
        <v>41.0</v>
      </c>
      <c r="B139" s="12">
        <v>58.66183077506229</v>
      </c>
      <c r="C139" s="13">
        <f t="shared" si="1"/>
        <v>41.93527491</v>
      </c>
    </row>
    <row r="140">
      <c r="A140" s="11">
        <v>19.0</v>
      </c>
      <c r="B140" s="12">
        <v>30.42092194153117</v>
      </c>
      <c r="C140" s="13">
        <f t="shared" si="1"/>
        <v>37.47420943</v>
      </c>
    </row>
    <row r="141">
      <c r="A141" s="11">
        <v>99.0</v>
      </c>
      <c r="B141" s="12">
        <v>107.01863250687853</v>
      </c>
      <c r="C141" s="13">
        <f t="shared" si="1"/>
        <v>55.50435341</v>
      </c>
    </row>
    <row r="142">
      <c r="A142" s="11">
        <v>35.0</v>
      </c>
      <c r="B142" s="12">
        <v>43.21710548074817</v>
      </c>
      <c r="C142" s="13">
        <f t="shared" si="1"/>
        <v>48.59187066</v>
      </c>
    </row>
    <row r="143">
      <c r="A143" s="11">
        <v>27.0</v>
      </c>
      <c r="B143" s="12">
        <v>30.577883201483242</v>
      </c>
      <c r="C143" s="13">
        <f t="shared" si="1"/>
        <v>52.9794685</v>
      </c>
    </row>
    <row r="144">
      <c r="A144" s="11">
        <v>62.0</v>
      </c>
      <c r="B144" s="12">
        <v>91.34188423654201</v>
      </c>
      <c r="C144" s="13">
        <f t="shared" si="1"/>
        <v>40.72611411</v>
      </c>
    </row>
    <row r="145">
      <c r="A145" s="11">
        <v>110.0</v>
      </c>
      <c r="B145" s="12">
        <v>168.2024297128266</v>
      </c>
      <c r="C145" s="13">
        <f t="shared" si="1"/>
        <v>39.23843437</v>
      </c>
    </row>
    <row r="146">
      <c r="A146" s="11">
        <v>42.0</v>
      </c>
      <c r="B146" s="12">
        <v>44.85622020080525</v>
      </c>
      <c r="C146" s="13">
        <f t="shared" si="1"/>
        <v>56.17949949</v>
      </c>
    </row>
    <row r="147">
      <c r="A147" s="11">
        <v>69.0</v>
      </c>
      <c r="B147" s="12">
        <v>76.70736875743977</v>
      </c>
      <c r="C147" s="13">
        <f t="shared" si="1"/>
        <v>53.97134678</v>
      </c>
    </row>
    <row r="148">
      <c r="A148" s="11">
        <v>51.0</v>
      </c>
      <c r="B148" s="12">
        <v>82.81068570735849</v>
      </c>
      <c r="C148" s="13">
        <f t="shared" si="1"/>
        <v>36.95175295</v>
      </c>
    </row>
    <row r="149">
      <c r="A149" s="11">
        <v>101.0</v>
      </c>
      <c r="B149" s="12">
        <v>113.07024569844816</v>
      </c>
      <c r="C149" s="13">
        <f t="shared" si="1"/>
        <v>53.59500161</v>
      </c>
    </row>
    <row r="150">
      <c r="A150" s="11">
        <v>113.0</v>
      </c>
      <c r="B150" s="12">
        <v>143.52355392655673</v>
      </c>
      <c r="C150" s="13">
        <f t="shared" si="1"/>
        <v>47.2396329</v>
      </c>
    </row>
    <row r="151">
      <c r="A151" s="11">
        <v>34.0</v>
      </c>
      <c r="B151" s="12">
        <v>44.45458221166088</v>
      </c>
      <c r="C151" s="13">
        <f t="shared" si="1"/>
        <v>45.88953261</v>
      </c>
    </row>
    <row r="152">
      <c r="A152" s="11">
        <v>49.0</v>
      </c>
      <c r="B152" s="12">
        <v>59.45303783495289</v>
      </c>
      <c r="C152" s="13">
        <f t="shared" si="1"/>
        <v>49.45079523</v>
      </c>
    </row>
    <row r="153">
      <c r="A153" s="11">
        <v>47.0</v>
      </c>
      <c r="B153" s="12">
        <v>46.358799334807784</v>
      </c>
      <c r="C153" s="13">
        <f t="shared" si="1"/>
        <v>60.82987568</v>
      </c>
    </row>
    <row r="154">
      <c r="A154" s="11">
        <v>56.0</v>
      </c>
      <c r="B154" s="12">
        <v>49.249087629740586</v>
      </c>
      <c r="C154" s="13">
        <f t="shared" si="1"/>
        <v>68.22461413</v>
      </c>
    </row>
    <row r="155">
      <c r="A155" s="11">
        <v>120.0</v>
      </c>
      <c r="B155" s="12">
        <v>150.65913105901558</v>
      </c>
      <c r="C155" s="13">
        <f t="shared" si="1"/>
        <v>47.79000084</v>
      </c>
    </row>
    <row r="156">
      <c r="A156" s="11">
        <v>30.0</v>
      </c>
      <c r="B156" s="12">
        <v>95.04812774926293</v>
      </c>
      <c r="C156" s="13">
        <f t="shared" si="1"/>
        <v>18.9377744</v>
      </c>
    </row>
    <row r="157">
      <c r="A157" s="11">
        <v>95.0</v>
      </c>
      <c r="B157" s="12">
        <v>81.16636791720481</v>
      </c>
      <c r="C157" s="13">
        <f t="shared" si="1"/>
        <v>70.22613117</v>
      </c>
    </row>
    <row r="158">
      <c r="A158" s="11">
        <v>93.0</v>
      </c>
      <c r="B158" s="12">
        <v>112.17124701836629</v>
      </c>
      <c r="C158" s="13">
        <f t="shared" si="1"/>
        <v>49.74536834</v>
      </c>
    </row>
    <row r="159">
      <c r="A159" s="11">
        <v>68.0</v>
      </c>
      <c r="B159" s="12">
        <v>105.46175252887693</v>
      </c>
      <c r="C159" s="13">
        <f t="shared" si="1"/>
        <v>38.68701119</v>
      </c>
    </row>
    <row r="160">
      <c r="A160" s="11">
        <v>114.0</v>
      </c>
      <c r="B160" s="12">
        <v>139.88323191711663</v>
      </c>
      <c r="C160" s="13">
        <f t="shared" si="1"/>
        <v>48.89792655</v>
      </c>
    </row>
    <row r="161">
      <c r="A161" s="11">
        <v>92.0</v>
      </c>
      <c r="B161" s="12">
        <v>132.65060005062404</v>
      </c>
      <c r="C161" s="13">
        <f t="shared" si="1"/>
        <v>41.61307976</v>
      </c>
    </row>
    <row r="162">
      <c r="A162" s="11">
        <v>17.0</v>
      </c>
      <c r="B162" s="12">
        <v>18.752475929216445</v>
      </c>
      <c r="C162" s="13">
        <f t="shared" si="1"/>
        <v>54.39281745</v>
      </c>
    </row>
    <row r="163">
      <c r="A163" s="11">
        <v>80.0</v>
      </c>
      <c r="B163" s="12">
        <v>116.46538862729194</v>
      </c>
      <c r="C163" s="13">
        <f t="shared" si="1"/>
        <v>41.21396113</v>
      </c>
    </row>
    <row r="164">
      <c r="A164" s="11">
        <v>92.0</v>
      </c>
      <c r="B164" s="12">
        <v>85.17362499496036</v>
      </c>
      <c r="C164" s="13">
        <f t="shared" si="1"/>
        <v>64.80879498</v>
      </c>
    </row>
    <row r="165">
      <c r="A165" s="11">
        <v>43.0</v>
      </c>
      <c r="B165" s="12">
        <v>59.9917329346695</v>
      </c>
      <c r="C165" s="13">
        <f t="shared" si="1"/>
        <v>43.00592555</v>
      </c>
    </row>
    <row r="166">
      <c r="A166" s="11">
        <v>26.0</v>
      </c>
      <c r="B166" s="12">
        <v>34.39193320585906</v>
      </c>
      <c r="C166" s="13">
        <f t="shared" si="1"/>
        <v>45.359474</v>
      </c>
    </row>
    <row r="167">
      <c r="A167" s="11">
        <v>73.0</v>
      </c>
      <c r="B167" s="12">
        <v>72.34090592895292</v>
      </c>
      <c r="C167" s="13">
        <f t="shared" si="1"/>
        <v>60.54665675</v>
      </c>
    </row>
    <row r="168">
      <c r="A168" s="11">
        <v>45.0</v>
      </c>
      <c r="B168" s="12">
        <v>67.2946510526417</v>
      </c>
      <c r="C168" s="13">
        <f t="shared" si="1"/>
        <v>40.1220596</v>
      </c>
    </row>
    <row r="169">
      <c r="A169" s="11">
        <v>45.0</v>
      </c>
      <c r="B169" s="12">
        <v>52.23764472212385</v>
      </c>
      <c r="C169" s="13">
        <f t="shared" si="1"/>
        <v>51.68686326</v>
      </c>
    </row>
    <row r="170">
      <c r="A170" s="11">
        <v>43.0</v>
      </c>
      <c r="B170" s="12">
        <v>80.14742953993166</v>
      </c>
      <c r="C170" s="13">
        <f t="shared" si="1"/>
        <v>32.19067679</v>
      </c>
    </row>
    <row r="171">
      <c r="A171" s="11">
        <v>102.0</v>
      </c>
      <c r="B171" s="12">
        <v>279.03769965800836</v>
      </c>
      <c r="C171" s="13">
        <f t="shared" si="1"/>
        <v>21.93252026</v>
      </c>
    </row>
    <row r="172">
      <c r="A172" s="11">
        <v>11.0</v>
      </c>
      <c r="B172" s="12">
        <v>12.961436765872731</v>
      </c>
      <c r="C172" s="13">
        <f t="shared" si="1"/>
        <v>50.92028082</v>
      </c>
    </row>
    <row r="173">
      <c r="A173" s="11">
        <v>40.0</v>
      </c>
      <c r="B173" s="12">
        <v>48.6436963085186</v>
      </c>
      <c r="C173" s="13">
        <f t="shared" si="1"/>
        <v>49.33835588</v>
      </c>
    </row>
    <row r="174">
      <c r="A174" s="11">
        <v>117.0</v>
      </c>
      <c r="B174" s="12">
        <v>231.62081378371101</v>
      </c>
      <c r="C174" s="13">
        <f t="shared" si="1"/>
        <v>30.30815705</v>
      </c>
    </row>
    <row r="175">
      <c r="A175" s="11">
        <v>102.0</v>
      </c>
      <c r="B175" s="12">
        <v>336.15001826307497</v>
      </c>
      <c r="C175" s="13">
        <f t="shared" si="1"/>
        <v>18.20615698</v>
      </c>
    </row>
    <row r="176">
      <c r="A176" s="11">
        <v>47.0</v>
      </c>
      <c r="B176" s="12">
        <v>45.25171693518168</v>
      </c>
      <c r="C176" s="13">
        <f t="shared" si="1"/>
        <v>62.31807743</v>
      </c>
    </row>
    <row r="177">
      <c r="A177" s="11">
        <v>27.0</v>
      </c>
      <c r="B177" s="12">
        <v>21.327443747439574</v>
      </c>
      <c r="C177" s="13">
        <f t="shared" si="1"/>
        <v>75.95847018</v>
      </c>
    </row>
    <row r="178">
      <c r="A178" s="11">
        <v>88.0</v>
      </c>
      <c r="B178" s="12">
        <v>236.44639080886512</v>
      </c>
      <c r="C178" s="13">
        <f t="shared" si="1"/>
        <v>22.33064325</v>
      </c>
    </row>
    <row r="179">
      <c r="A179" s="11">
        <v>26.0</v>
      </c>
      <c r="B179" s="12">
        <v>50.024660419697945</v>
      </c>
      <c r="C179" s="13">
        <f t="shared" si="1"/>
        <v>31.18461948</v>
      </c>
    </row>
    <row r="180">
      <c r="A180" s="11">
        <v>58.0</v>
      </c>
      <c r="B180" s="12">
        <v>59.956466834695796</v>
      </c>
      <c r="C180" s="13">
        <f t="shared" si="1"/>
        <v>58.04211261</v>
      </c>
    </row>
    <row r="181">
      <c r="A181" s="11">
        <v>76.0</v>
      </c>
      <c r="B181" s="12">
        <v>107.71197933652715</v>
      </c>
      <c r="C181" s="13">
        <f t="shared" si="1"/>
        <v>42.33512399</v>
      </c>
    </row>
    <row r="182">
      <c r="A182" s="11">
        <v>90.0</v>
      </c>
      <c r="B182" s="12">
        <v>101.80766147751999</v>
      </c>
      <c r="C182" s="13">
        <f t="shared" si="1"/>
        <v>53.04119476</v>
      </c>
    </row>
    <row r="183">
      <c r="A183" s="11">
        <v>29.0</v>
      </c>
      <c r="B183" s="12">
        <v>36.56562450520261</v>
      </c>
      <c r="C183" s="13">
        <f t="shared" si="1"/>
        <v>47.58567708</v>
      </c>
    </row>
    <row r="184">
      <c r="A184" s="11">
        <v>42.0</v>
      </c>
      <c r="B184" s="12">
        <v>63.638242384251114</v>
      </c>
      <c r="C184" s="13">
        <f t="shared" si="1"/>
        <v>39.59883092</v>
      </c>
    </row>
    <row r="185">
      <c r="A185" s="11">
        <v>54.0</v>
      </c>
      <c r="B185" s="12">
        <v>61.126591343138855</v>
      </c>
      <c r="C185" s="13">
        <f t="shared" si="1"/>
        <v>53.00475503</v>
      </c>
    </row>
    <row r="186">
      <c r="A186" s="11">
        <v>50.0</v>
      </c>
      <c r="B186" s="12">
        <v>100.6875734991151</v>
      </c>
      <c r="C186" s="13">
        <f t="shared" si="1"/>
        <v>29.79513654</v>
      </c>
    </row>
    <row r="187">
      <c r="A187" s="11">
        <v>70.0</v>
      </c>
      <c r="B187" s="12">
        <v>102.82768695285482</v>
      </c>
      <c r="C187" s="13">
        <f t="shared" si="1"/>
        <v>40.8450304</v>
      </c>
    </row>
    <row r="188">
      <c r="A188" s="11">
        <v>46.0</v>
      </c>
      <c r="B188" s="12">
        <v>69.64977351952598</v>
      </c>
      <c r="C188" s="13">
        <f t="shared" si="1"/>
        <v>39.62683381</v>
      </c>
    </row>
    <row r="189">
      <c r="A189" s="11">
        <v>17.0</v>
      </c>
      <c r="B189" s="12">
        <v>33.0323002748507</v>
      </c>
      <c r="C189" s="13">
        <f t="shared" si="1"/>
        <v>30.87886679</v>
      </c>
    </row>
    <row r="190">
      <c r="A190" s="11">
        <v>49.0</v>
      </c>
      <c r="B190" s="12">
        <v>72.2439659992833</v>
      </c>
      <c r="C190" s="13">
        <f t="shared" si="1"/>
        <v>40.69544023</v>
      </c>
    </row>
    <row r="191">
      <c r="A191" s="11">
        <v>56.0</v>
      </c>
      <c r="B191" s="12">
        <v>50.087848452543945</v>
      </c>
      <c r="C191" s="13">
        <f t="shared" si="1"/>
        <v>67.08213876</v>
      </c>
    </row>
    <row r="192">
      <c r="A192" s="11">
        <v>69.0</v>
      </c>
      <c r="B192" s="12">
        <v>95.41856252849908</v>
      </c>
      <c r="C192" s="13">
        <f t="shared" si="1"/>
        <v>43.3877842</v>
      </c>
    </row>
    <row r="193">
      <c r="A193" s="11">
        <v>93.0</v>
      </c>
      <c r="B193" s="12">
        <v>144.66596876335907</v>
      </c>
      <c r="C193" s="13">
        <f t="shared" si="1"/>
        <v>38.57161465</v>
      </c>
    </row>
    <row r="194">
      <c r="A194" s="11">
        <v>64.0</v>
      </c>
      <c r="B194" s="12">
        <v>81.92375747368588</v>
      </c>
      <c r="C194" s="13">
        <f t="shared" si="1"/>
        <v>46.87285005</v>
      </c>
    </row>
    <row r="195">
      <c r="A195" s="11">
        <v>33.0</v>
      </c>
      <c r="B195" s="12">
        <v>65.87344411422511</v>
      </c>
      <c r="C195" s="13">
        <f t="shared" si="1"/>
        <v>30.05763592</v>
      </c>
    </row>
    <row r="196">
      <c r="A196" s="11">
        <v>98.0</v>
      </c>
      <c r="B196" s="12">
        <v>79.13905952902802</v>
      </c>
      <c r="C196" s="13">
        <f t="shared" si="1"/>
        <v>74.29959409</v>
      </c>
    </row>
    <row r="197">
      <c r="A197" s="11">
        <v>59.0</v>
      </c>
      <c r="B197" s="12">
        <v>66.90866809549384</v>
      </c>
      <c r="C197" s="13">
        <f t="shared" si="1"/>
        <v>52.90794303</v>
      </c>
    </row>
    <row r="198">
      <c r="A198" s="11">
        <v>112.0</v>
      </c>
      <c r="B198" s="12">
        <v>141.92364988803547</v>
      </c>
      <c r="C198" s="13">
        <f t="shared" si="1"/>
        <v>47.34940234</v>
      </c>
    </row>
    <row r="199">
      <c r="A199" s="11">
        <v>94.0</v>
      </c>
      <c r="B199" s="12">
        <v>156.2472118867105</v>
      </c>
      <c r="C199" s="13">
        <f t="shared" si="1"/>
        <v>36.09664411</v>
      </c>
    </row>
    <row r="200">
      <c r="A200" s="11">
        <v>52.0</v>
      </c>
      <c r="B200" s="12">
        <v>53.59085852437542</v>
      </c>
      <c r="C200" s="13">
        <f t="shared" si="1"/>
        <v>58.21888445</v>
      </c>
    </row>
    <row r="201">
      <c r="A201" s="11">
        <v>39.0</v>
      </c>
      <c r="B201" s="12">
        <v>34.808204858833676</v>
      </c>
      <c r="C201" s="13">
        <f t="shared" si="1"/>
        <v>67.22552943</v>
      </c>
    </row>
    <row r="202">
      <c r="A202" s="11">
        <v>80.0</v>
      </c>
      <c r="B202" s="12">
        <v>125.86070334663903</v>
      </c>
      <c r="C202" s="13">
        <f t="shared" si="1"/>
        <v>38.1374001</v>
      </c>
    </row>
    <row r="203">
      <c r="A203" s="11">
        <v>53.0</v>
      </c>
      <c r="B203" s="12">
        <v>45.59113717140629</v>
      </c>
      <c r="C203" s="13">
        <f t="shared" si="1"/>
        <v>69.75039881</v>
      </c>
    </row>
    <row r="204">
      <c r="A204" s="11">
        <v>14.0</v>
      </c>
      <c r="B204" s="12">
        <v>13.974828538108122</v>
      </c>
      <c r="C204" s="13">
        <f t="shared" si="1"/>
        <v>60.108072</v>
      </c>
    </row>
    <row r="205">
      <c r="A205" s="11">
        <v>107.0</v>
      </c>
      <c r="B205" s="12">
        <v>121.63977489375132</v>
      </c>
      <c r="C205" s="13">
        <f t="shared" si="1"/>
        <v>52.77878889</v>
      </c>
    </row>
    <row r="206">
      <c r="A206" s="11">
        <v>16.0</v>
      </c>
      <c r="B206" s="12">
        <v>20.45782545360687</v>
      </c>
      <c r="C206" s="13">
        <f t="shared" si="1"/>
        <v>46.92580852</v>
      </c>
    </row>
    <row r="207">
      <c r="A207" s="11">
        <v>35.0</v>
      </c>
      <c r="B207" s="12">
        <v>52.92625678272128</v>
      </c>
      <c r="C207" s="13">
        <f t="shared" si="1"/>
        <v>39.67784853</v>
      </c>
    </row>
    <row r="208">
      <c r="A208" s="11">
        <v>113.0</v>
      </c>
      <c r="B208" s="12">
        <v>188.43577083028157</v>
      </c>
      <c r="C208" s="13">
        <f t="shared" si="1"/>
        <v>35.98042967</v>
      </c>
    </row>
    <row r="209">
      <c r="A209" s="11">
        <v>118.0</v>
      </c>
      <c r="B209" s="12">
        <v>140.9584239392308</v>
      </c>
      <c r="C209" s="13">
        <f t="shared" si="1"/>
        <v>50.22757635</v>
      </c>
    </row>
    <row r="210">
      <c r="A210" s="11">
        <v>25.0</v>
      </c>
      <c r="B210" s="12">
        <v>24.137619005278243</v>
      </c>
      <c r="C210" s="13">
        <f t="shared" si="1"/>
        <v>62.14366047</v>
      </c>
    </row>
    <row r="211">
      <c r="A211" s="11">
        <v>10.0</v>
      </c>
      <c r="B211" s="12">
        <v>8.768051114630936</v>
      </c>
      <c r="C211" s="13">
        <f t="shared" si="1"/>
        <v>68.43025801</v>
      </c>
    </row>
    <row r="212">
      <c r="A212" s="11">
        <v>54.0</v>
      </c>
      <c r="B212" s="12">
        <v>63.34081811991633</v>
      </c>
      <c r="C212" s="13">
        <f t="shared" si="1"/>
        <v>51.15184957</v>
      </c>
    </row>
    <row r="213">
      <c r="A213" s="11">
        <v>56.0</v>
      </c>
      <c r="B213" s="12">
        <v>98.3633504789673</v>
      </c>
      <c r="C213" s="13">
        <f t="shared" si="1"/>
        <v>34.15906416</v>
      </c>
    </row>
    <row r="214">
      <c r="A214" s="11">
        <v>34.0</v>
      </c>
      <c r="B214" s="12">
        <v>36.9107708150378</v>
      </c>
      <c r="C214" s="13">
        <f t="shared" si="1"/>
        <v>55.26842044</v>
      </c>
    </row>
    <row r="215">
      <c r="A215" s="11">
        <v>61.0</v>
      </c>
      <c r="B215" s="12">
        <v>83.45721905401601</v>
      </c>
      <c r="C215" s="13">
        <f t="shared" si="1"/>
        <v>43.85480419</v>
      </c>
    </row>
    <row r="216">
      <c r="A216" s="11">
        <v>84.0</v>
      </c>
      <c r="B216" s="12">
        <v>90.80379316603978</v>
      </c>
      <c r="C216" s="13">
        <f t="shared" si="1"/>
        <v>55.50428924</v>
      </c>
    </row>
    <row r="217">
      <c r="A217" s="11">
        <v>112.0</v>
      </c>
      <c r="B217" s="12">
        <v>121.12636742581694</v>
      </c>
      <c r="C217" s="13">
        <f t="shared" si="1"/>
        <v>55.47924983</v>
      </c>
    </row>
    <row r="218">
      <c r="A218" s="11">
        <v>44.0</v>
      </c>
      <c r="B218" s="12">
        <v>42.91006435989667</v>
      </c>
      <c r="C218" s="13">
        <f t="shared" si="1"/>
        <v>61.52402797</v>
      </c>
    </row>
    <row r="219">
      <c r="A219" s="11">
        <v>11.0</v>
      </c>
      <c r="B219" s="12">
        <v>16.49663750048868</v>
      </c>
      <c r="C219" s="13">
        <f t="shared" si="1"/>
        <v>40.00815318</v>
      </c>
    </row>
    <row r="220">
      <c r="A220" s="11">
        <v>69.0</v>
      </c>
      <c r="B220" s="12">
        <v>141.6610799880828</v>
      </c>
      <c r="C220" s="13">
        <f t="shared" si="1"/>
        <v>29.2246819</v>
      </c>
    </row>
    <row r="221">
      <c r="A221" s="11">
        <v>120.0</v>
      </c>
      <c r="B221" s="12">
        <v>128.10973225216082</v>
      </c>
      <c r="C221" s="13">
        <f t="shared" si="1"/>
        <v>56.20181912</v>
      </c>
    </row>
    <row r="222">
      <c r="A222" s="11">
        <v>23.0</v>
      </c>
      <c r="B222" s="12">
        <v>24.426523636788485</v>
      </c>
      <c r="C222" s="13">
        <f t="shared" si="1"/>
        <v>56.495964</v>
      </c>
    </row>
    <row r="223">
      <c r="A223" s="11">
        <v>51.0</v>
      </c>
      <c r="B223" s="12">
        <v>48.853216850547625</v>
      </c>
      <c r="C223" s="13">
        <f t="shared" si="1"/>
        <v>62.63661223</v>
      </c>
    </row>
    <row r="224">
      <c r="A224" s="11">
        <v>110.0</v>
      </c>
      <c r="B224" s="12">
        <v>142.36148283421807</v>
      </c>
      <c r="C224" s="13">
        <f t="shared" si="1"/>
        <v>46.36085456</v>
      </c>
    </row>
    <row r="225">
      <c r="A225" s="11">
        <v>66.0</v>
      </c>
      <c r="B225" s="12">
        <v>63.86111798674991</v>
      </c>
      <c r="C225" s="13">
        <f t="shared" si="1"/>
        <v>62.0095627</v>
      </c>
    </row>
    <row r="226">
      <c r="A226" s="11">
        <v>57.0</v>
      </c>
      <c r="B226" s="12">
        <v>54.26565376230361</v>
      </c>
      <c r="C226" s="13">
        <f t="shared" si="1"/>
        <v>63.02328937</v>
      </c>
    </row>
    <row r="227">
      <c r="A227" s="11">
        <v>78.0</v>
      </c>
      <c r="B227" s="12">
        <v>78.00282051286517</v>
      </c>
      <c r="C227" s="13">
        <f t="shared" si="1"/>
        <v>59.99783045</v>
      </c>
    </row>
    <row r="228">
      <c r="A228" s="11">
        <v>70.0</v>
      </c>
      <c r="B228" s="12">
        <v>122.30391691171721</v>
      </c>
      <c r="C228" s="13">
        <f t="shared" si="1"/>
        <v>34.34068267</v>
      </c>
    </row>
    <row r="229">
      <c r="A229" s="11">
        <v>59.0</v>
      </c>
      <c r="B229" s="12">
        <v>63.14799650411928</v>
      </c>
      <c r="C229" s="13">
        <f t="shared" si="1"/>
        <v>56.05878565</v>
      </c>
    </row>
    <row r="230">
      <c r="A230" s="11">
        <v>93.0</v>
      </c>
      <c r="B230" s="12">
        <v>138.18192332515824</v>
      </c>
      <c r="C230" s="13">
        <f t="shared" si="1"/>
        <v>40.38154822</v>
      </c>
    </row>
    <row r="231">
      <c r="A231" s="11">
        <v>78.0</v>
      </c>
      <c r="B231" s="12">
        <v>202.2351013066523</v>
      </c>
      <c r="C231" s="13">
        <f t="shared" si="1"/>
        <v>23.14138332</v>
      </c>
    </row>
    <row r="232">
      <c r="A232" s="11">
        <v>72.0</v>
      </c>
      <c r="B232" s="12">
        <v>85.30521613418408</v>
      </c>
      <c r="C232" s="13">
        <f t="shared" si="1"/>
        <v>50.64168636</v>
      </c>
    </row>
    <row r="233">
      <c r="A233" s="11">
        <v>45.0</v>
      </c>
      <c r="B233" s="12">
        <v>54.38755716167372</v>
      </c>
      <c r="C233" s="13">
        <f t="shared" si="1"/>
        <v>49.64370788</v>
      </c>
    </row>
    <row r="234">
      <c r="A234" s="11">
        <v>68.0</v>
      </c>
      <c r="B234" s="12">
        <v>123.59200762628133</v>
      </c>
      <c r="C234" s="13">
        <f t="shared" si="1"/>
        <v>33.01184339</v>
      </c>
    </row>
    <row r="235">
      <c r="A235" s="11">
        <v>113.0</v>
      </c>
      <c r="B235" s="12">
        <v>136.08074800283526</v>
      </c>
      <c r="C235" s="13">
        <f t="shared" si="1"/>
        <v>49.82335929</v>
      </c>
    </row>
    <row r="236">
      <c r="A236" s="11">
        <v>114.0</v>
      </c>
      <c r="B236" s="12">
        <v>135.57619767774455</v>
      </c>
      <c r="C236" s="13">
        <f t="shared" si="1"/>
        <v>50.45133377</v>
      </c>
    </row>
    <row r="237">
      <c r="A237" s="11">
        <v>33.0</v>
      </c>
      <c r="B237" s="12">
        <v>75.68005085313297</v>
      </c>
      <c r="C237" s="13">
        <f t="shared" si="1"/>
        <v>26.16277312</v>
      </c>
    </row>
    <row r="238">
      <c r="A238" s="11">
        <v>110.0</v>
      </c>
      <c r="B238" s="12">
        <v>119.59708347146801</v>
      </c>
      <c r="C238" s="13">
        <f t="shared" si="1"/>
        <v>55.18529222</v>
      </c>
    </row>
    <row r="239">
      <c r="A239" s="11">
        <v>101.0</v>
      </c>
      <c r="B239" s="12">
        <v>143.4344709010428</v>
      </c>
      <c r="C239" s="13">
        <f t="shared" si="1"/>
        <v>42.24925823</v>
      </c>
    </row>
    <row r="240">
      <c r="A240" s="11">
        <v>88.0</v>
      </c>
      <c r="B240" s="12">
        <v>97.35247012108587</v>
      </c>
      <c r="C240" s="13">
        <f t="shared" si="1"/>
        <v>54.23591197</v>
      </c>
    </row>
    <row r="241">
      <c r="A241" s="11">
        <v>92.0</v>
      </c>
      <c r="B241" s="12">
        <v>144.66823971367444</v>
      </c>
      <c r="C241" s="13">
        <f t="shared" si="1"/>
        <v>38.15626713</v>
      </c>
    </row>
    <row r="242">
      <c r="A242" s="11">
        <v>83.0</v>
      </c>
      <c r="B242" s="12">
        <v>134.27056274391276</v>
      </c>
      <c r="C242" s="13">
        <f t="shared" si="1"/>
        <v>37.08929119</v>
      </c>
    </row>
    <row r="243">
      <c r="A243" s="11">
        <v>87.0</v>
      </c>
      <c r="B243" s="12">
        <v>95.56400490561094</v>
      </c>
      <c r="C243" s="13">
        <f t="shared" si="1"/>
        <v>54.62307702</v>
      </c>
    </row>
    <row r="244">
      <c r="A244" s="11">
        <v>99.0</v>
      </c>
      <c r="B244" s="12">
        <v>167.5195884003377</v>
      </c>
      <c r="C244" s="13">
        <f t="shared" si="1"/>
        <v>35.45853984</v>
      </c>
    </row>
    <row r="245">
      <c r="A245" s="11">
        <v>105.0</v>
      </c>
      <c r="B245" s="12">
        <v>129.32287808104806</v>
      </c>
      <c r="C245" s="13">
        <f t="shared" si="1"/>
        <v>48.71527833</v>
      </c>
    </row>
    <row r="246">
      <c r="A246" s="11">
        <v>35.0</v>
      </c>
      <c r="B246" s="12">
        <v>44.69901395932739</v>
      </c>
      <c r="C246" s="13">
        <f t="shared" si="1"/>
        <v>46.98090213</v>
      </c>
    </row>
    <row r="247">
      <c r="A247" s="11">
        <v>15.0</v>
      </c>
      <c r="B247" s="12">
        <v>16.576788662324997</v>
      </c>
      <c r="C247" s="13">
        <f t="shared" si="1"/>
        <v>54.29278362</v>
      </c>
    </row>
    <row r="248">
      <c r="A248" s="11">
        <v>109.0</v>
      </c>
      <c r="B248" s="12">
        <v>101.81875954994042</v>
      </c>
      <c r="C248" s="13">
        <f t="shared" si="1"/>
        <v>64.2317784</v>
      </c>
    </row>
    <row r="249">
      <c r="A249" s="11">
        <v>33.0</v>
      </c>
      <c r="B249" s="12">
        <v>29.489684692849707</v>
      </c>
      <c r="C249" s="13">
        <f t="shared" si="1"/>
        <v>67.14212175</v>
      </c>
    </row>
    <row r="250">
      <c r="A250" s="11">
        <v>17.0</v>
      </c>
      <c r="B250" s="12">
        <v>29.345066622642364</v>
      </c>
      <c r="C250" s="13">
        <f t="shared" si="1"/>
        <v>34.7588238</v>
      </c>
    </row>
    <row r="251">
      <c r="A251" s="11">
        <v>14.0</v>
      </c>
      <c r="B251" s="12">
        <v>18.448018608881316</v>
      </c>
      <c r="C251" s="13">
        <f t="shared" si="1"/>
        <v>45.53334522</v>
      </c>
    </row>
    <row r="252">
      <c r="C252" s="13"/>
    </row>
    <row r="253">
      <c r="C253" s="13"/>
    </row>
    <row r="254">
      <c r="C254" s="13"/>
    </row>
    <row r="255">
      <c r="C255" s="13"/>
    </row>
    <row r="256">
      <c r="C256" s="13"/>
    </row>
    <row r="257">
      <c r="C257" s="13"/>
    </row>
    <row r="258">
      <c r="C258" s="13"/>
    </row>
    <row r="259">
      <c r="C259" s="13"/>
    </row>
    <row r="260">
      <c r="C260" s="13"/>
    </row>
    <row r="261">
      <c r="C261" s="13"/>
    </row>
    <row r="262">
      <c r="C262" s="13"/>
    </row>
    <row r="263">
      <c r="C263" s="13"/>
    </row>
    <row r="264">
      <c r="C264" s="13"/>
    </row>
    <row r="265">
      <c r="C265" s="13"/>
    </row>
    <row r="266">
      <c r="C266" s="13"/>
    </row>
    <row r="267">
      <c r="C267" s="13"/>
    </row>
    <row r="268">
      <c r="C268" s="13"/>
    </row>
    <row r="269">
      <c r="C269" s="13"/>
    </row>
    <row r="270">
      <c r="C270" s="13"/>
    </row>
    <row r="271">
      <c r="C271" s="13"/>
    </row>
    <row r="272">
      <c r="C272" s="13"/>
    </row>
    <row r="273">
      <c r="C273" s="13"/>
    </row>
    <row r="274">
      <c r="C274" s="13"/>
    </row>
    <row r="275">
      <c r="C275" s="13"/>
    </row>
    <row r="276">
      <c r="C276" s="13"/>
    </row>
    <row r="277">
      <c r="C277" s="13"/>
    </row>
    <row r="278">
      <c r="C278" s="13"/>
    </row>
    <row r="279">
      <c r="C279" s="13"/>
    </row>
    <row r="280">
      <c r="C280" s="13"/>
    </row>
    <row r="281">
      <c r="C281" s="13"/>
    </row>
    <row r="282">
      <c r="C282" s="13"/>
    </row>
    <row r="283">
      <c r="C283" s="13"/>
    </row>
    <row r="284">
      <c r="C284" s="13"/>
    </row>
    <row r="285">
      <c r="C285" s="13"/>
    </row>
    <row r="286">
      <c r="C286" s="13"/>
    </row>
    <row r="287">
      <c r="C287" s="13"/>
    </row>
    <row r="288">
      <c r="C288" s="13"/>
    </row>
    <row r="289">
      <c r="C289" s="13"/>
    </row>
    <row r="290">
      <c r="C290" s="13"/>
    </row>
    <row r="291">
      <c r="C291" s="13"/>
    </row>
    <row r="292">
      <c r="C292" s="13"/>
    </row>
    <row r="293">
      <c r="C293" s="13"/>
    </row>
    <row r="294">
      <c r="C294" s="13"/>
    </row>
    <row r="295">
      <c r="C295" s="13"/>
    </row>
    <row r="296">
      <c r="C296" s="13"/>
    </row>
    <row r="297">
      <c r="C297" s="13"/>
    </row>
    <row r="298">
      <c r="C298" s="13"/>
    </row>
    <row r="299">
      <c r="C299" s="13"/>
    </row>
    <row r="300">
      <c r="C300" s="13"/>
    </row>
    <row r="301">
      <c r="C301" s="13"/>
    </row>
    <row r="302">
      <c r="C302" s="13"/>
    </row>
    <row r="303">
      <c r="C303" s="13"/>
    </row>
    <row r="304">
      <c r="C304" s="13"/>
    </row>
    <row r="305">
      <c r="C305" s="13"/>
    </row>
    <row r="306">
      <c r="C306" s="13"/>
    </row>
    <row r="307">
      <c r="C307" s="13"/>
    </row>
    <row r="308">
      <c r="C308" s="13"/>
    </row>
    <row r="309">
      <c r="C309" s="13"/>
    </row>
    <row r="310">
      <c r="C310" s="13"/>
    </row>
    <row r="311">
      <c r="C311" s="13"/>
    </row>
    <row r="312">
      <c r="C312" s="13"/>
    </row>
    <row r="313">
      <c r="C313" s="13"/>
    </row>
    <row r="314">
      <c r="C314" s="13"/>
    </row>
    <row r="315">
      <c r="C315" s="13"/>
    </row>
    <row r="316">
      <c r="C316" s="13"/>
    </row>
    <row r="317">
      <c r="C317" s="13"/>
    </row>
    <row r="318">
      <c r="C318" s="13"/>
    </row>
    <row r="319">
      <c r="C319" s="13"/>
    </row>
    <row r="320">
      <c r="C320" s="13"/>
    </row>
    <row r="321">
      <c r="C321" s="13"/>
    </row>
    <row r="322">
      <c r="C322" s="13"/>
    </row>
    <row r="323">
      <c r="C323" s="13"/>
    </row>
    <row r="324">
      <c r="C324" s="13"/>
    </row>
    <row r="325">
      <c r="C325" s="13"/>
    </row>
    <row r="326">
      <c r="C326" s="13"/>
    </row>
    <row r="327">
      <c r="C327" s="13"/>
    </row>
    <row r="328">
      <c r="C328" s="13"/>
    </row>
    <row r="329">
      <c r="C329" s="13"/>
    </row>
    <row r="330">
      <c r="C330" s="13"/>
    </row>
    <row r="331">
      <c r="C331" s="13"/>
    </row>
    <row r="332">
      <c r="C332" s="13"/>
    </row>
    <row r="333">
      <c r="C333" s="13"/>
    </row>
    <row r="334">
      <c r="C334" s="13"/>
    </row>
    <row r="335">
      <c r="C335" s="13"/>
    </row>
    <row r="336">
      <c r="C336" s="13"/>
    </row>
    <row r="337">
      <c r="C337" s="13"/>
    </row>
    <row r="338">
      <c r="C338" s="13"/>
    </row>
    <row r="339">
      <c r="C339" s="13"/>
    </row>
    <row r="340">
      <c r="C340" s="13"/>
    </row>
    <row r="341">
      <c r="C341" s="13"/>
    </row>
    <row r="342">
      <c r="C342" s="13"/>
    </row>
    <row r="343">
      <c r="C343" s="13"/>
    </row>
    <row r="344">
      <c r="C344" s="13"/>
    </row>
    <row r="345">
      <c r="C345" s="13"/>
    </row>
    <row r="346">
      <c r="C346" s="13"/>
    </row>
    <row r="347">
      <c r="C347" s="13"/>
    </row>
    <row r="348">
      <c r="C348" s="13"/>
    </row>
    <row r="349">
      <c r="C349" s="13"/>
    </row>
    <row r="350">
      <c r="C350" s="13"/>
    </row>
    <row r="351">
      <c r="C351" s="13"/>
    </row>
    <row r="352">
      <c r="C352" s="13"/>
    </row>
    <row r="353">
      <c r="C353" s="13"/>
    </row>
    <row r="354">
      <c r="C354" s="13"/>
    </row>
    <row r="355">
      <c r="C355" s="13"/>
    </row>
    <row r="356">
      <c r="C356" s="13"/>
    </row>
    <row r="357">
      <c r="C357" s="13"/>
    </row>
    <row r="358">
      <c r="C358" s="13"/>
    </row>
    <row r="359">
      <c r="C359" s="13"/>
    </row>
    <row r="360">
      <c r="C360" s="13"/>
    </row>
    <row r="361">
      <c r="C361" s="13"/>
    </row>
    <row r="362">
      <c r="C362" s="13"/>
    </row>
    <row r="363">
      <c r="C363" s="13"/>
    </row>
    <row r="364">
      <c r="C364" s="13"/>
    </row>
    <row r="365">
      <c r="C365" s="13"/>
    </row>
    <row r="366">
      <c r="C366" s="13"/>
    </row>
    <row r="367">
      <c r="C367" s="13"/>
    </row>
    <row r="368">
      <c r="C368" s="13"/>
    </row>
    <row r="369">
      <c r="C369" s="13"/>
    </row>
    <row r="370">
      <c r="C370" s="13"/>
    </row>
    <row r="371">
      <c r="C371" s="13"/>
    </row>
    <row r="372">
      <c r="C372" s="13"/>
    </row>
    <row r="373">
      <c r="C373" s="13"/>
    </row>
    <row r="374">
      <c r="C374" s="13"/>
    </row>
    <row r="375">
      <c r="C375" s="13"/>
    </row>
    <row r="376">
      <c r="C376" s="13"/>
    </row>
    <row r="377">
      <c r="C377" s="13"/>
    </row>
    <row r="378">
      <c r="C378" s="13"/>
    </row>
    <row r="379">
      <c r="C379" s="13"/>
    </row>
    <row r="380">
      <c r="C380" s="13"/>
    </row>
    <row r="381">
      <c r="C381" s="13"/>
    </row>
    <row r="382">
      <c r="C382" s="13"/>
    </row>
    <row r="383">
      <c r="C383" s="13"/>
    </row>
    <row r="384">
      <c r="C384" s="13"/>
    </row>
    <row r="385">
      <c r="C385" s="13"/>
    </row>
    <row r="386">
      <c r="C386" s="13"/>
    </row>
    <row r="387">
      <c r="C387" s="13"/>
    </row>
    <row r="388">
      <c r="C388" s="13"/>
    </row>
    <row r="389">
      <c r="C389" s="13"/>
    </row>
    <row r="390">
      <c r="C390" s="13"/>
    </row>
    <row r="391">
      <c r="C391" s="13"/>
    </row>
    <row r="392">
      <c r="C392" s="13"/>
    </row>
    <row r="393">
      <c r="C393" s="13"/>
    </row>
    <row r="394">
      <c r="C394" s="13"/>
    </row>
    <row r="395">
      <c r="C395" s="13"/>
    </row>
    <row r="396">
      <c r="C396" s="13"/>
    </row>
    <row r="397">
      <c r="C397" s="13"/>
    </row>
    <row r="398">
      <c r="C398" s="13"/>
    </row>
    <row r="399">
      <c r="C399" s="13"/>
    </row>
    <row r="400">
      <c r="C400" s="13"/>
    </row>
    <row r="401">
      <c r="C401" s="13"/>
    </row>
    <row r="402">
      <c r="C402" s="13"/>
    </row>
    <row r="403">
      <c r="C403" s="13"/>
    </row>
    <row r="404">
      <c r="C404" s="13"/>
    </row>
    <row r="405">
      <c r="C405" s="13"/>
    </row>
    <row r="406">
      <c r="C406" s="13"/>
    </row>
    <row r="407">
      <c r="C407" s="13"/>
    </row>
    <row r="408">
      <c r="C408" s="13"/>
    </row>
    <row r="409">
      <c r="C409" s="13"/>
    </row>
    <row r="410">
      <c r="C410" s="13"/>
    </row>
    <row r="411">
      <c r="C411" s="13"/>
    </row>
    <row r="412">
      <c r="C412" s="13"/>
    </row>
    <row r="413">
      <c r="C413" s="13"/>
    </row>
    <row r="414">
      <c r="C414" s="13"/>
    </row>
    <row r="415">
      <c r="C415" s="13"/>
    </row>
    <row r="416">
      <c r="C416" s="13"/>
    </row>
    <row r="417">
      <c r="C417" s="13"/>
    </row>
    <row r="418">
      <c r="C418" s="13"/>
    </row>
    <row r="419">
      <c r="C419" s="13"/>
    </row>
    <row r="420">
      <c r="C420" s="13"/>
    </row>
    <row r="421">
      <c r="C421" s="13"/>
    </row>
    <row r="422">
      <c r="C422" s="13"/>
    </row>
    <row r="423">
      <c r="C423" s="13"/>
    </row>
    <row r="424">
      <c r="C424" s="13"/>
    </row>
    <row r="425">
      <c r="C425" s="13"/>
    </row>
    <row r="426">
      <c r="C426" s="13"/>
    </row>
    <row r="427">
      <c r="C427" s="13"/>
    </row>
    <row r="428">
      <c r="C428" s="13"/>
    </row>
    <row r="429">
      <c r="C429" s="13"/>
    </row>
    <row r="430">
      <c r="C430" s="13"/>
    </row>
    <row r="431">
      <c r="C431" s="13"/>
    </row>
    <row r="432">
      <c r="C432" s="13"/>
    </row>
    <row r="433">
      <c r="C433" s="13"/>
    </row>
    <row r="434">
      <c r="C434" s="13"/>
    </row>
    <row r="435">
      <c r="C435" s="13"/>
    </row>
    <row r="436">
      <c r="C436" s="13"/>
    </row>
    <row r="437">
      <c r="C437" s="13"/>
    </row>
    <row r="438">
      <c r="C438" s="13"/>
    </row>
    <row r="439">
      <c r="C439" s="13"/>
    </row>
    <row r="440">
      <c r="C440" s="13"/>
    </row>
    <row r="441">
      <c r="C441" s="13"/>
    </row>
    <row r="442">
      <c r="C442" s="13"/>
    </row>
    <row r="443">
      <c r="C443" s="13"/>
    </row>
    <row r="444">
      <c r="C444" s="13"/>
    </row>
    <row r="445">
      <c r="C445" s="13"/>
    </row>
    <row r="446">
      <c r="C446" s="13"/>
    </row>
    <row r="447">
      <c r="C447" s="13"/>
    </row>
    <row r="448">
      <c r="C448" s="13"/>
    </row>
    <row r="449">
      <c r="C449" s="13"/>
    </row>
    <row r="450">
      <c r="C450" s="13"/>
    </row>
    <row r="451">
      <c r="C451" s="13"/>
    </row>
    <row r="452">
      <c r="C452" s="13"/>
    </row>
    <row r="453">
      <c r="C453" s="13"/>
    </row>
    <row r="454">
      <c r="C454" s="13"/>
    </row>
    <row r="455">
      <c r="C455" s="13"/>
    </row>
    <row r="456">
      <c r="C456" s="13"/>
    </row>
    <row r="457">
      <c r="C457" s="13"/>
    </row>
    <row r="458">
      <c r="C458" s="13"/>
    </row>
    <row r="459">
      <c r="C459" s="13"/>
    </row>
    <row r="460">
      <c r="C460" s="13"/>
    </row>
    <row r="461">
      <c r="C461" s="13"/>
    </row>
    <row r="462">
      <c r="C462" s="13"/>
    </row>
    <row r="463">
      <c r="C463" s="13"/>
    </row>
    <row r="464">
      <c r="C464" s="13"/>
    </row>
    <row r="465">
      <c r="C465" s="13"/>
    </row>
    <row r="466">
      <c r="C466" s="13"/>
    </row>
    <row r="467">
      <c r="C467" s="13"/>
    </row>
    <row r="468">
      <c r="C468" s="13"/>
    </row>
    <row r="469">
      <c r="C469" s="13"/>
    </row>
    <row r="470">
      <c r="C470" s="13"/>
    </row>
    <row r="471">
      <c r="C471" s="13"/>
    </row>
    <row r="472">
      <c r="C472" s="13"/>
    </row>
    <row r="473">
      <c r="C473" s="13"/>
    </row>
    <row r="474">
      <c r="C474" s="13"/>
    </row>
    <row r="475">
      <c r="C475" s="13"/>
    </row>
    <row r="476">
      <c r="C476" s="13"/>
    </row>
    <row r="477">
      <c r="C477" s="13"/>
    </row>
    <row r="478">
      <c r="C478" s="13"/>
    </row>
    <row r="479">
      <c r="C479" s="13"/>
    </row>
    <row r="480">
      <c r="C480" s="13"/>
    </row>
    <row r="481">
      <c r="C481" s="13"/>
    </row>
    <row r="482">
      <c r="C482" s="13"/>
    </row>
    <row r="483">
      <c r="C483" s="13"/>
    </row>
    <row r="484">
      <c r="C484" s="13"/>
    </row>
    <row r="485">
      <c r="C485" s="13"/>
    </row>
    <row r="486">
      <c r="C486" s="13"/>
    </row>
    <row r="487">
      <c r="C487" s="13"/>
    </row>
    <row r="488">
      <c r="C488" s="13"/>
    </row>
    <row r="489">
      <c r="C489" s="13"/>
    </row>
    <row r="490">
      <c r="C490" s="13"/>
    </row>
    <row r="491">
      <c r="C491" s="13"/>
    </row>
    <row r="492">
      <c r="C492" s="13"/>
    </row>
    <row r="493">
      <c r="C493" s="13"/>
    </row>
    <row r="494">
      <c r="C494" s="13"/>
    </row>
    <row r="495">
      <c r="C495" s="13"/>
    </row>
    <row r="496">
      <c r="C496" s="13"/>
    </row>
    <row r="497">
      <c r="C497" s="13"/>
    </row>
    <row r="498">
      <c r="C498" s="13"/>
    </row>
    <row r="499">
      <c r="C499" s="13"/>
    </row>
    <row r="500">
      <c r="C500" s="13"/>
    </row>
    <row r="501">
      <c r="C501" s="13"/>
    </row>
    <row r="502">
      <c r="C502" s="13"/>
    </row>
    <row r="503">
      <c r="C503" s="13"/>
    </row>
    <row r="504">
      <c r="C504" s="13"/>
    </row>
    <row r="505">
      <c r="C505" s="13"/>
    </row>
    <row r="506">
      <c r="C506" s="13"/>
    </row>
    <row r="507">
      <c r="C507" s="13"/>
    </row>
    <row r="508">
      <c r="C508" s="13"/>
    </row>
    <row r="509">
      <c r="C509" s="13"/>
    </row>
    <row r="510">
      <c r="C510" s="13"/>
    </row>
    <row r="511">
      <c r="C511" s="13"/>
    </row>
    <row r="512">
      <c r="C512" s="13"/>
    </row>
    <row r="513">
      <c r="C513" s="13"/>
    </row>
    <row r="514">
      <c r="C514" s="13"/>
    </row>
    <row r="515">
      <c r="C515" s="13"/>
    </row>
    <row r="516">
      <c r="C516" s="13"/>
    </row>
    <row r="517">
      <c r="C517" s="13"/>
    </row>
    <row r="518">
      <c r="C518" s="13"/>
    </row>
    <row r="519">
      <c r="C519" s="13"/>
    </row>
    <row r="520">
      <c r="C520" s="13"/>
    </row>
    <row r="521">
      <c r="C521" s="13"/>
    </row>
    <row r="522">
      <c r="C522" s="13"/>
    </row>
    <row r="523">
      <c r="C523" s="13"/>
    </row>
    <row r="524">
      <c r="C524" s="13"/>
    </row>
    <row r="525">
      <c r="C525" s="13"/>
    </row>
    <row r="526">
      <c r="C526" s="13"/>
    </row>
    <row r="527">
      <c r="C527" s="13"/>
    </row>
    <row r="528">
      <c r="C528" s="13"/>
    </row>
    <row r="529">
      <c r="C529" s="13"/>
    </row>
    <row r="530">
      <c r="C530" s="13"/>
    </row>
    <row r="531">
      <c r="C531" s="13"/>
    </row>
    <row r="532">
      <c r="C532" s="13"/>
    </row>
    <row r="533">
      <c r="C533" s="13"/>
    </row>
    <row r="534">
      <c r="C534" s="13"/>
    </row>
    <row r="535">
      <c r="C535" s="13"/>
    </row>
    <row r="536">
      <c r="C536" s="13"/>
    </row>
    <row r="537">
      <c r="C537" s="13"/>
    </row>
    <row r="538">
      <c r="C538" s="13"/>
    </row>
    <row r="539">
      <c r="C539" s="13"/>
    </row>
    <row r="540">
      <c r="C540" s="13"/>
    </row>
    <row r="541">
      <c r="C541" s="13"/>
    </row>
    <row r="542">
      <c r="C542" s="13"/>
    </row>
    <row r="543">
      <c r="C543" s="13"/>
    </row>
    <row r="544">
      <c r="C544" s="13"/>
    </row>
    <row r="545">
      <c r="C545" s="13"/>
    </row>
    <row r="546">
      <c r="C546" s="13"/>
    </row>
    <row r="547">
      <c r="C547" s="13"/>
    </row>
    <row r="548">
      <c r="C548" s="13"/>
    </row>
    <row r="549">
      <c r="C549" s="13"/>
    </row>
    <row r="550">
      <c r="C550" s="13"/>
    </row>
    <row r="551">
      <c r="C551" s="13"/>
    </row>
    <row r="552">
      <c r="C552" s="13"/>
    </row>
    <row r="553">
      <c r="C553" s="13"/>
    </row>
    <row r="554">
      <c r="C554" s="13"/>
    </row>
    <row r="555">
      <c r="C555" s="13"/>
    </row>
    <row r="556">
      <c r="C556" s="13"/>
    </row>
    <row r="557">
      <c r="C557" s="13"/>
    </row>
    <row r="558">
      <c r="C558" s="13"/>
    </row>
    <row r="559">
      <c r="C559" s="13"/>
    </row>
    <row r="560">
      <c r="C560" s="13"/>
    </row>
    <row r="561">
      <c r="C561" s="13"/>
    </row>
    <row r="562">
      <c r="C562" s="13"/>
    </row>
    <row r="563">
      <c r="C563" s="13"/>
    </row>
    <row r="564">
      <c r="C564" s="13"/>
    </row>
    <row r="565">
      <c r="C565" s="13"/>
    </row>
    <row r="566">
      <c r="C566" s="13"/>
    </row>
    <row r="567">
      <c r="C567" s="13"/>
    </row>
    <row r="568">
      <c r="C568" s="13"/>
    </row>
    <row r="569">
      <c r="C569" s="13"/>
    </row>
    <row r="570">
      <c r="C570" s="13"/>
    </row>
    <row r="571">
      <c r="C571" s="13"/>
    </row>
    <row r="572">
      <c r="C572" s="13"/>
    </row>
    <row r="573">
      <c r="C573" s="13"/>
    </row>
    <row r="574">
      <c r="C574" s="13"/>
    </row>
    <row r="575">
      <c r="C575" s="13"/>
    </row>
    <row r="576">
      <c r="C576" s="13"/>
    </row>
    <row r="577">
      <c r="C577" s="13"/>
    </row>
    <row r="578">
      <c r="C578" s="13"/>
    </row>
    <row r="579">
      <c r="C579" s="13"/>
    </row>
    <row r="580">
      <c r="C580" s="13"/>
    </row>
    <row r="581">
      <c r="C581" s="13"/>
    </row>
    <row r="582">
      <c r="C582" s="13"/>
    </row>
    <row r="583">
      <c r="C583" s="13"/>
    </row>
    <row r="584">
      <c r="C584" s="13"/>
    </row>
    <row r="585">
      <c r="C585" s="13"/>
    </row>
    <row r="586">
      <c r="C586" s="13"/>
    </row>
    <row r="587">
      <c r="C587" s="13"/>
    </row>
    <row r="588">
      <c r="C588" s="13"/>
    </row>
    <row r="589">
      <c r="C589" s="13"/>
    </row>
    <row r="590">
      <c r="C590" s="13"/>
    </row>
    <row r="591">
      <c r="C591" s="13"/>
    </row>
    <row r="592">
      <c r="C592" s="13"/>
    </row>
    <row r="593">
      <c r="C593" s="13"/>
    </row>
    <row r="594">
      <c r="C594" s="13"/>
    </row>
    <row r="595">
      <c r="C595" s="13"/>
    </row>
    <row r="596">
      <c r="C596" s="13"/>
    </row>
    <row r="597">
      <c r="C597" s="13"/>
    </row>
    <row r="598">
      <c r="C598" s="13"/>
    </row>
    <row r="599">
      <c r="C599" s="13"/>
    </row>
    <row r="600">
      <c r="C600" s="13"/>
    </row>
    <row r="601">
      <c r="C601" s="13"/>
    </row>
    <row r="602">
      <c r="C602" s="13"/>
    </row>
    <row r="603">
      <c r="C603" s="13"/>
    </row>
    <row r="604">
      <c r="C604" s="13"/>
    </row>
    <row r="605">
      <c r="C605" s="13"/>
    </row>
    <row r="606">
      <c r="C606" s="13"/>
    </row>
    <row r="607">
      <c r="C607" s="13"/>
    </row>
    <row r="608">
      <c r="C608" s="13"/>
    </row>
    <row r="609">
      <c r="C609" s="13"/>
    </row>
    <row r="610">
      <c r="C610" s="13"/>
    </row>
    <row r="611">
      <c r="C611" s="13"/>
    </row>
    <row r="612">
      <c r="C612" s="13"/>
    </row>
    <row r="613">
      <c r="C613" s="13"/>
    </row>
    <row r="614">
      <c r="C614" s="13"/>
    </row>
    <row r="615">
      <c r="C615" s="13"/>
    </row>
    <row r="616">
      <c r="C616" s="13"/>
    </row>
    <row r="617">
      <c r="C617" s="13"/>
    </row>
    <row r="618">
      <c r="C618" s="13"/>
    </row>
    <row r="619">
      <c r="C619" s="13"/>
    </row>
    <row r="620">
      <c r="C620" s="13"/>
    </row>
    <row r="621">
      <c r="C621" s="13"/>
    </row>
    <row r="622">
      <c r="C622" s="13"/>
    </row>
    <row r="623">
      <c r="C623" s="13"/>
    </row>
    <row r="624">
      <c r="C624" s="13"/>
    </row>
    <row r="625">
      <c r="C625" s="13"/>
    </row>
    <row r="626">
      <c r="C626" s="13"/>
    </row>
    <row r="627">
      <c r="C627" s="13"/>
    </row>
    <row r="628">
      <c r="C628" s="13"/>
    </row>
    <row r="629">
      <c r="C629" s="13"/>
    </row>
    <row r="630">
      <c r="C630" s="13"/>
    </row>
    <row r="631">
      <c r="C631" s="13"/>
    </row>
    <row r="632">
      <c r="C632" s="13"/>
    </row>
    <row r="633">
      <c r="C633" s="13"/>
    </row>
    <row r="634">
      <c r="C634" s="13"/>
    </row>
    <row r="635">
      <c r="C635" s="13"/>
    </row>
    <row r="636">
      <c r="C636" s="13"/>
    </row>
    <row r="637">
      <c r="C637" s="13"/>
    </row>
    <row r="638">
      <c r="C638" s="13"/>
    </row>
    <row r="639">
      <c r="C639" s="13"/>
    </row>
    <row r="640">
      <c r="C640" s="13"/>
    </row>
    <row r="641">
      <c r="C641" s="13"/>
    </row>
    <row r="642">
      <c r="C642" s="13"/>
    </row>
    <row r="643">
      <c r="C643" s="13"/>
    </row>
    <row r="644">
      <c r="C644" s="13"/>
    </row>
    <row r="645">
      <c r="C645" s="13"/>
    </row>
    <row r="646">
      <c r="C646" s="13"/>
    </row>
    <row r="647">
      <c r="C647" s="13"/>
    </row>
    <row r="648">
      <c r="C648" s="13"/>
    </row>
    <row r="649">
      <c r="C649" s="13"/>
    </row>
    <row r="650">
      <c r="C650" s="13"/>
    </row>
    <row r="651">
      <c r="C651" s="13"/>
    </row>
    <row r="652">
      <c r="C652" s="13"/>
    </row>
    <row r="653">
      <c r="C653" s="13"/>
    </row>
    <row r="654">
      <c r="C654" s="13"/>
    </row>
    <row r="655">
      <c r="C655" s="13"/>
    </row>
    <row r="656">
      <c r="C656" s="13"/>
    </row>
    <row r="657">
      <c r="C657" s="13"/>
    </row>
    <row r="658">
      <c r="C658" s="13"/>
    </row>
    <row r="659">
      <c r="C659" s="13"/>
    </row>
    <row r="660">
      <c r="C660" s="13"/>
    </row>
    <row r="661">
      <c r="C661" s="13"/>
    </row>
    <row r="662">
      <c r="C662" s="13"/>
    </row>
    <row r="663">
      <c r="C663" s="13"/>
    </row>
    <row r="664">
      <c r="C664" s="13"/>
    </row>
    <row r="665">
      <c r="C665" s="13"/>
    </row>
    <row r="666">
      <c r="C666" s="13"/>
    </row>
    <row r="667">
      <c r="C667" s="13"/>
    </row>
    <row r="668">
      <c r="C668" s="13"/>
    </row>
    <row r="669">
      <c r="C669" s="13"/>
    </row>
    <row r="670">
      <c r="C670" s="13"/>
    </row>
    <row r="671">
      <c r="C671" s="13"/>
    </row>
    <row r="672">
      <c r="C672" s="13"/>
    </row>
    <row r="673">
      <c r="C673" s="13"/>
    </row>
    <row r="674">
      <c r="C674" s="13"/>
    </row>
    <row r="675">
      <c r="C675" s="13"/>
    </row>
    <row r="676">
      <c r="C676" s="13"/>
    </row>
    <row r="677">
      <c r="C677" s="13"/>
    </row>
    <row r="678">
      <c r="C678" s="13"/>
    </row>
    <row r="679">
      <c r="C679" s="13"/>
    </row>
    <row r="680">
      <c r="C680" s="13"/>
    </row>
    <row r="681">
      <c r="C681" s="13"/>
    </row>
    <row r="682">
      <c r="C682" s="13"/>
    </row>
    <row r="683">
      <c r="C683" s="13"/>
    </row>
    <row r="684">
      <c r="C684" s="13"/>
    </row>
    <row r="685">
      <c r="C685" s="13"/>
    </row>
    <row r="686">
      <c r="C686" s="13"/>
    </row>
    <row r="687">
      <c r="C687" s="13"/>
    </row>
    <row r="688">
      <c r="C688" s="13"/>
    </row>
    <row r="689">
      <c r="C689" s="13"/>
    </row>
    <row r="690">
      <c r="C690" s="13"/>
    </row>
    <row r="691">
      <c r="C691" s="13"/>
    </row>
    <row r="692">
      <c r="C692" s="13"/>
    </row>
    <row r="693">
      <c r="C693" s="13"/>
    </row>
    <row r="694">
      <c r="C694" s="13"/>
    </row>
    <row r="695">
      <c r="C695" s="13"/>
    </row>
    <row r="696">
      <c r="C696" s="13"/>
    </row>
    <row r="697">
      <c r="C697" s="13"/>
    </row>
    <row r="698">
      <c r="C698" s="13"/>
    </row>
    <row r="699">
      <c r="C699" s="13"/>
    </row>
    <row r="700">
      <c r="C700" s="13"/>
    </row>
    <row r="701">
      <c r="C701" s="13"/>
    </row>
    <row r="702">
      <c r="C702" s="13"/>
    </row>
    <row r="703">
      <c r="C703" s="13"/>
    </row>
    <row r="704">
      <c r="C704" s="13"/>
    </row>
    <row r="705">
      <c r="C705" s="13"/>
    </row>
    <row r="706">
      <c r="C706" s="13"/>
    </row>
    <row r="707">
      <c r="C707" s="13"/>
    </row>
    <row r="708">
      <c r="C708" s="13"/>
    </row>
    <row r="709">
      <c r="C709" s="13"/>
    </row>
    <row r="710">
      <c r="C710" s="13"/>
    </row>
    <row r="711">
      <c r="C711" s="13"/>
    </row>
    <row r="712">
      <c r="C712" s="13"/>
    </row>
    <row r="713">
      <c r="C713" s="13"/>
    </row>
    <row r="714">
      <c r="C714" s="13"/>
    </row>
    <row r="715">
      <c r="C715" s="13"/>
    </row>
    <row r="716">
      <c r="C716" s="13"/>
    </row>
    <row r="717">
      <c r="C717" s="13"/>
    </row>
    <row r="718">
      <c r="C718" s="13"/>
    </row>
    <row r="719">
      <c r="C719" s="13"/>
    </row>
    <row r="720">
      <c r="C720" s="13"/>
    </row>
    <row r="721">
      <c r="C721" s="13"/>
    </row>
    <row r="722">
      <c r="C722" s="13"/>
    </row>
    <row r="723">
      <c r="C723" s="13"/>
    </row>
    <row r="724">
      <c r="C724" s="13"/>
    </row>
    <row r="725">
      <c r="C725" s="13"/>
    </row>
    <row r="726">
      <c r="C726" s="13"/>
    </row>
    <row r="727">
      <c r="C727" s="13"/>
    </row>
    <row r="728">
      <c r="C728" s="13"/>
    </row>
    <row r="729">
      <c r="C729" s="13"/>
    </row>
    <row r="730">
      <c r="C730" s="13"/>
    </row>
    <row r="731">
      <c r="C731" s="13"/>
    </row>
    <row r="732">
      <c r="C732" s="13"/>
    </row>
    <row r="733">
      <c r="C733" s="13"/>
    </row>
    <row r="734">
      <c r="C734" s="13"/>
    </row>
    <row r="735">
      <c r="C735" s="13"/>
    </row>
    <row r="736">
      <c r="C736" s="13"/>
    </row>
    <row r="737">
      <c r="C737" s="13"/>
    </row>
    <row r="738">
      <c r="C738" s="13"/>
    </row>
    <row r="739">
      <c r="C739" s="13"/>
    </row>
    <row r="740">
      <c r="C740" s="13"/>
    </row>
    <row r="741">
      <c r="C741" s="13"/>
    </row>
    <row r="742">
      <c r="C742" s="13"/>
    </row>
    <row r="743">
      <c r="C743" s="13"/>
    </row>
    <row r="744">
      <c r="C744" s="13"/>
    </row>
    <row r="745">
      <c r="C745" s="13"/>
    </row>
    <row r="746">
      <c r="C746" s="13"/>
    </row>
    <row r="747">
      <c r="C747" s="13"/>
    </row>
    <row r="748">
      <c r="C748" s="13"/>
    </row>
    <row r="749">
      <c r="C749" s="13"/>
    </row>
    <row r="750">
      <c r="C750" s="13"/>
    </row>
    <row r="751">
      <c r="C751" s="13"/>
    </row>
    <row r="752">
      <c r="C752" s="13"/>
    </row>
    <row r="753">
      <c r="C753" s="13"/>
    </row>
    <row r="754">
      <c r="C754" s="13"/>
    </row>
    <row r="755">
      <c r="C755" s="13"/>
    </row>
    <row r="756">
      <c r="C756" s="13"/>
    </row>
    <row r="757">
      <c r="C757" s="13"/>
    </row>
    <row r="758">
      <c r="C758" s="13"/>
    </row>
    <row r="759">
      <c r="C759" s="13"/>
    </row>
    <row r="760">
      <c r="C760" s="13"/>
    </row>
    <row r="761">
      <c r="C761" s="13"/>
    </row>
    <row r="762">
      <c r="C762" s="13"/>
    </row>
    <row r="763">
      <c r="C763" s="13"/>
    </row>
    <row r="764">
      <c r="C764" s="13"/>
    </row>
    <row r="765">
      <c r="C765" s="13"/>
    </row>
    <row r="766">
      <c r="C766" s="13"/>
    </row>
    <row r="767">
      <c r="C767" s="13"/>
    </row>
    <row r="768">
      <c r="C768" s="13"/>
    </row>
    <row r="769">
      <c r="C769" s="13"/>
    </row>
    <row r="770">
      <c r="C770" s="13"/>
    </row>
    <row r="771">
      <c r="C771" s="13"/>
    </row>
    <row r="772">
      <c r="C772" s="13"/>
    </row>
    <row r="773">
      <c r="C773" s="13"/>
    </row>
    <row r="774">
      <c r="C774" s="13"/>
    </row>
    <row r="775">
      <c r="C775" s="13"/>
    </row>
    <row r="776">
      <c r="C776" s="13"/>
    </row>
    <row r="777">
      <c r="C777" s="13"/>
    </row>
    <row r="778">
      <c r="C778" s="13"/>
    </row>
    <row r="779">
      <c r="C779" s="13"/>
    </row>
    <row r="780">
      <c r="C780" s="13"/>
    </row>
    <row r="781">
      <c r="C781" s="13"/>
    </row>
    <row r="782">
      <c r="C782" s="13"/>
    </row>
    <row r="783">
      <c r="C783" s="13"/>
    </row>
    <row r="784">
      <c r="C784" s="13"/>
    </row>
    <row r="785">
      <c r="C785" s="13"/>
    </row>
    <row r="786">
      <c r="C786" s="13"/>
    </row>
    <row r="787">
      <c r="C787" s="13"/>
    </row>
    <row r="788">
      <c r="C788" s="13"/>
    </row>
    <row r="789">
      <c r="C789" s="13"/>
    </row>
    <row r="790">
      <c r="C790" s="13"/>
    </row>
    <row r="791">
      <c r="C791" s="13"/>
    </row>
    <row r="792">
      <c r="C792" s="13"/>
    </row>
    <row r="793">
      <c r="C793" s="13"/>
    </row>
    <row r="794">
      <c r="C794" s="13"/>
    </row>
    <row r="795">
      <c r="C795" s="13"/>
    </row>
    <row r="796">
      <c r="C796" s="13"/>
    </row>
    <row r="797">
      <c r="C797" s="13"/>
    </row>
    <row r="798">
      <c r="C798" s="13"/>
    </row>
    <row r="799">
      <c r="C799" s="13"/>
    </row>
    <row r="800">
      <c r="C800" s="13"/>
    </row>
    <row r="801">
      <c r="C801" s="13"/>
    </row>
    <row r="802">
      <c r="C802" s="13"/>
    </row>
    <row r="803">
      <c r="C803" s="13"/>
    </row>
    <row r="804">
      <c r="C804" s="13"/>
    </row>
    <row r="805">
      <c r="C805" s="13"/>
    </row>
    <row r="806">
      <c r="C806" s="13"/>
    </row>
    <row r="807">
      <c r="C807" s="13"/>
    </row>
    <row r="808">
      <c r="C808" s="13"/>
    </row>
    <row r="809">
      <c r="C809" s="13"/>
    </row>
    <row r="810">
      <c r="C810" s="13"/>
    </row>
    <row r="811">
      <c r="C811" s="13"/>
    </row>
    <row r="812">
      <c r="C812" s="13"/>
    </row>
    <row r="813">
      <c r="C813" s="13"/>
    </row>
    <row r="814">
      <c r="C814" s="13"/>
    </row>
    <row r="815">
      <c r="C815" s="13"/>
    </row>
    <row r="816">
      <c r="C816" s="13"/>
    </row>
    <row r="817">
      <c r="C817" s="13"/>
    </row>
    <row r="818">
      <c r="C818" s="13"/>
    </row>
    <row r="819">
      <c r="C819" s="13"/>
    </row>
    <row r="820">
      <c r="C820" s="13"/>
    </row>
    <row r="821">
      <c r="C821" s="13"/>
    </row>
    <row r="822">
      <c r="C822" s="13"/>
    </row>
    <row r="823">
      <c r="C823" s="13"/>
    </row>
    <row r="824">
      <c r="C824" s="13"/>
    </row>
    <row r="825">
      <c r="C825" s="13"/>
    </row>
    <row r="826">
      <c r="C826" s="13"/>
    </row>
    <row r="827">
      <c r="C827" s="13"/>
    </row>
    <row r="828">
      <c r="C828" s="13"/>
    </row>
    <row r="829">
      <c r="C829" s="13"/>
    </row>
    <row r="830">
      <c r="C830" s="13"/>
    </row>
    <row r="831">
      <c r="C831" s="13"/>
    </row>
    <row r="832">
      <c r="C832" s="13"/>
    </row>
    <row r="833">
      <c r="C833" s="13"/>
    </row>
    <row r="834">
      <c r="C834" s="13"/>
    </row>
    <row r="835">
      <c r="C835" s="13"/>
    </row>
    <row r="836">
      <c r="C836" s="13"/>
    </row>
    <row r="837">
      <c r="C837" s="13"/>
    </row>
    <row r="838">
      <c r="C838" s="13"/>
    </row>
    <row r="839">
      <c r="C839" s="13"/>
    </row>
    <row r="840">
      <c r="C840" s="13"/>
    </row>
    <row r="841">
      <c r="C841" s="13"/>
    </row>
    <row r="842">
      <c r="C842" s="13"/>
    </row>
    <row r="843">
      <c r="C843" s="13"/>
    </row>
    <row r="844">
      <c r="C844" s="13"/>
    </row>
    <row r="845">
      <c r="C845" s="13"/>
    </row>
    <row r="846">
      <c r="C846" s="13"/>
    </row>
    <row r="847">
      <c r="C847" s="13"/>
    </row>
    <row r="848">
      <c r="C848" s="13"/>
    </row>
    <row r="849">
      <c r="C849" s="13"/>
    </row>
    <row r="850">
      <c r="C850" s="13"/>
    </row>
    <row r="851">
      <c r="C851" s="13"/>
    </row>
    <row r="852">
      <c r="C852" s="13"/>
    </row>
    <row r="853">
      <c r="C853" s="13"/>
    </row>
    <row r="854">
      <c r="C854" s="13"/>
    </row>
    <row r="855">
      <c r="C855" s="13"/>
    </row>
    <row r="856">
      <c r="C856" s="13"/>
    </row>
    <row r="857">
      <c r="C857" s="13"/>
    </row>
    <row r="858">
      <c r="C858" s="13"/>
    </row>
    <row r="859">
      <c r="C859" s="13"/>
    </row>
    <row r="860">
      <c r="C860" s="13"/>
    </row>
    <row r="861">
      <c r="C861" s="13"/>
    </row>
    <row r="862">
      <c r="C862" s="13"/>
    </row>
    <row r="863">
      <c r="C863" s="13"/>
    </row>
    <row r="864">
      <c r="C864" s="13"/>
    </row>
    <row r="865">
      <c r="C865" s="13"/>
    </row>
    <row r="866">
      <c r="C866" s="13"/>
    </row>
    <row r="867">
      <c r="C867" s="13"/>
    </row>
    <row r="868">
      <c r="C868" s="13"/>
    </row>
    <row r="869">
      <c r="C869" s="13"/>
    </row>
    <row r="870">
      <c r="C870" s="13"/>
    </row>
    <row r="871">
      <c r="C871" s="13"/>
    </row>
    <row r="872">
      <c r="C872" s="13"/>
    </row>
    <row r="873">
      <c r="C873" s="13"/>
    </row>
    <row r="874">
      <c r="C874" s="13"/>
    </row>
    <row r="875">
      <c r="C875" s="13"/>
    </row>
    <row r="876">
      <c r="C876" s="13"/>
    </row>
    <row r="877">
      <c r="C877" s="13"/>
    </row>
    <row r="878">
      <c r="C878" s="13"/>
    </row>
    <row r="879">
      <c r="C879" s="13"/>
    </row>
    <row r="880">
      <c r="C880" s="13"/>
    </row>
    <row r="881">
      <c r="C881" s="13"/>
    </row>
    <row r="882">
      <c r="C882" s="13"/>
    </row>
    <row r="883">
      <c r="C883" s="13"/>
    </row>
    <row r="884">
      <c r="C884" s="13"/>
    </row>
    <row r="885">
      <c r="C885" s="13"/>
    </row>
    <row r="886">
      <c r="C886" s="13"/>
    </row>
    <row r="887">
      <c r="C887" s="13"/>
    </row>
    <row r="888">
      <c r="C888" s="13"/>
    </row>
    <row r="889">
      <c r="C889" s="13"/>
    </row>
    <row r="890">
      <c r="C890" s="13"/>
    </row>
    <row r="891">
      <c r="C891" s="13"/>
    </row>
    <row r="892">
      <c r="C892" s="13"/>
    </row>
    <row r="893">
      <c r="C893" s="13"/>
    </row>
    <row r="894">
      <c r="C894" s="13"/>
    </row>
    <row r="895">
      <c r="C895" s="13"/>
    </row>
    <row r="896">
      <c r="C896" s="13"/>
    </row>
    <row r="897">
      <c r="C897" s="13"/>
    </row>
    <row r="898">
      <c r="C898" s="13"/>
    </row>
    <row r="899">
      <c r="C899" s="13"/>
    </row>
    <row r="900">
      <c r="C900" s="13"/>
    </row>
    <row r="901">
      <c r="C901" s="13"/>
    </row>
    <row r="902">
      <c r="C902" s="13"/>
    </row>
    <row r="903">
      <c r="C903" s="13"/>
    </row>
    <row r="904">
      <c r="C904" s="13"/>
    </row>
    <row r="905">
      <c r="C905" s="13"/>
    </row>
    <row r="906">
      <c r="C906" s="13"/>
    </row>
    <row r="907">
      <c r="C907" s="13"/>
    </row>
    <row r="908">
      <c r="C908" s="13"/>
    </row>
    <row r="909">
      <c r="C909" s="13"/>
    </row>
    <row r="910">
      <c r="C910" s="13"/>
    </row>
    <row r="911">
      <c r="C911" s="13"/>
    </row>
    <row r="912">
      <c r="C912" s="13"/>
    </row>
    <row r="913">
      <c r="C913" s="13"/>
    </row>
    <row r="914">
      <c r="C914" s="13"/>
    </row>
    <row r="915">
      <c r="C915" s="13"/>
    </row>
    <row r="916">
      <c r="C916" s="13"/>
    </row>
    <row r="917">
      <c r="C917" s="13"/>
    </row>
    <row r="918">
      <c r="C918" s="13"/>
    </row>
    <row r="919">
      <c r="C919" s="13"/>
    </row>
    <row r="920">
      <c r="C920" s="13"/>
    </row>
    <row r="921">
      <c r="C921" s="13"/>
    </row>
    <row r="922">
      <c r="C922" s="13"/>
    </row>
    <row r="923">
      <c r="C923" s="13"/>
    </row>
    <row r="924">
      <c r="C924" s="13"/>
    </row>
    <row r="925">
      <c r="C925" s="13"/>
    </row>
    <row r="926">
      <c r="C926" s="13"/>
    </row>
    <row r="927">
      <c r="C927" s="13"/>
    </row>
    <row r="928">
      <c r="C928" s="13"/>
    </row>
    <row r="929">
      <c r="C929" s="13"/>
    </row>
    <row r="930">
      <c r="C930" s="13"/>
    </row>
    <row r="931">
      <c r="C931" s="13"/>
    </row>
    <row r="932">
      <c r="C932" s="13"/>
    </row>
    <row r="933">
      <c r="C933" s="13"/>
    </row>
    <row r="934">
      <c r="C934" s="13"/>
    </row>
    <row r="935">
      <c r="C935" s="13"/>
    </row>
    <row r="936">
      <c r="C936" s="13"/>
    </row>
    <row r="937">
      <c r="C937" s="13"/>
    </row>
    <row r="938">
      <c r="C938" s="13"/>
    </row>
    <row r="939">
      <c r="C939" s="13"/>
    </row>
    <row r="940">
      <c r="C940" s="13"/>
    </row>
    <row r="941">
      <c r="C941" s="13"/>
    </row>
    <row r="942">
      <c r="C942" s="13"/>
    </row>
    <row r="943">
      <c r="C943" s="13"/>
    </row>
    <row r="944">
      <c r="C944" s="13"/>
    </row>
    <row r="945">
      <c r="C945" s="13"/>
    </row>
    <row r="946">
      <c r="C946" s="13"/>
    </row>
    <row r="947">
      <c r="C947" s="13"/>
    </row>
    <row r="948">
      <c r="C948" s="13"/>
    </row>
    <row r="949">
      <c r="C949" s="13"/>
    </row>
    <row r="950">
      <c r="C950" s="13"/>
    </row>
    <row r="951">
      <c r="C951" s="13"/>
    </row>
    <row r="952">
      <c r="C952" s="13"/>
    </row>
    <row r="953">
      <c r="C953" s="13"/>
    </row>
    <row r="954">
      <c r="C954" s="13"/>
    </row>
    <row r="955">
      <c r="C955" s="13"/>
    </row>
    <row r="956">
      <c r="C956" s="13"/>
    </row>
    <row r="957">
      <c r="C957" s="13"/>
    </row>
    <row r="958">
      <c r="C958" s="13"/>
    </row>
    <row r="959">
      <c r="C959" s="13"/>
    </row>
    <row r="960">
      <c r="C960" s="13"/>
    </row>
    <row r="961">
      <c r="C961" s="13"/>
    </row>
    <row r="962">
      <c r="C962" s="13"/>
    </row>
    <row r="963">
      <c r="C963" s="13"/>
    </row>
    <row r="964">
      <c r="C964" s="13"/>
    </row>
    <row r="965">
      <c r="C965" s="13"/>
    </row>
    <row r="966">
      <c r="C966" s="13"/>
    </row>
    <row r="967">
      <c r="C967" s="13"/>
    </row>
    <row r="968">
      <c r="C968" s="13"/>
    </row>
    <row r="969">
      <c r="C969" s="13"/>
    </row>
    <row r="970">
      <c r="C970" s="13"/>
    </row>
    <row r="971">
      <c r="C971" s="13"/>
    </row>
    <row r="972">
      <c r="C972" s="13"/>
    </row>
    <row r="973">
      <c r="C973" s="13"/>
    </row>
    <row r="974">
      <c r="C974" s="13"/>
    </row>
    <row r="975">
      <c r="C975" s="13"/>
    </row>
    <row r="976">
      <c r="C976" s="13"/>
    </row>
    <row r="977">
      <c r="C977" s="13"/>
    </row>
    <row r="978">
      <c r="C978" s="13"/>
    </row>
    <row r="979">
      <c r="C979" s="13"/>
    </row>
    <row r="980">
      <c r="C980" s="13"/>
    </row>
    <row r="981">
      <c r="C981" s="13"/>
    </row>
    <row r="982">
      <c r="C982" s="13"/>
    </row>
    <row r="983">
      <c r="C983" s="13"/>
    </row>
    <row r="984">
      <c r="C984" s="13"/>
    </row>
    <row r="985">
      <c r="C985" s="13"/>
    </row>
    <row r="986">
      <c r="C986" s="13"/>
    </row>
    <row r="987">
      <c r="C987" s="13"/>
    </row>
    <row r="988">
      <c r="C988" s="13"/>
    </row>
    <row r="989">
      <c r="C989" s="13"/>
    </row>
    <row r="990">
      <c r="C990" s="13"/>
    </row>
    <row r="991">
      <c r="C991" s="13"/>
    </row>
    <row r="992">
      <c r="C992" s="13"/>
    </row>
    <row r="993">
      <c r="C993" s="13"/>
    </row>
    <row r="994">
      <c r="C994" s="13"/>
    </row>
    <row r="995">
      <c r="C995" s="13"/>
    </row>
    <row r="996">
      <c r="C996" s="13"/>
    </row>
    <row r="997">
      <c r="C997" s="13"/>
    </row>
    <row r="998">
      <c r="C998" s="13"/>
    </row>
    <row r="999">
      <c r="C999" s="13"/>
    </row>
    <row r="1000">
      <c r="C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88"/>
    <col customWidth="1" min="2" max="2" width="13.38"/>
    <col customWidth="1" min="3" max="3" width="21.88"/>
    <col customWidth="1" min="4" max="4" width="9.38"/>
    <col customWidth="1" min="5" max="26" width="14.38"/>
  </cols>
  <sheetData>
    <row r="1">
      <c r="A1" s="14"/>
      <c r="B1" s="15" t="s">
        <v>11</v>
      </c>
      <c r="C1" s="15" t="s">
        <v>12</v>
      </c>
      <c r="D1" s="15"/>
      <c r="E1" s="16"/>
    </row>
    <row r="2">
      <c r="A2" s="14" t="s">
        <v>13</v>
      </c>
      <c r="B2" s="17" t="s">
        <v>14</v>
      </c>
      <c r="C2" s="17" t="s">
        <v>15</v>
      </c>
      <c r="D2" s="18" t="s">
        <v>16</v>
      </c>
      <c r="E2" s="19" t="s">
        <v>17</v>
      </c>
      <c r="F2" s="7" t="s">
        <v>18</v>
      </c>
    </row>
    <row r="3">
      <c r="A3" s="20">
        <v>1.0</v>
      </c>
      <c r="B3" s="21">
        <v>3000.0</v>
      </c>
      <c r="C3" s="22">
        <v>150.0</v>
      </c>
      <c r="D3" s="23">
        <f>CORREL(C3:C27,B3:B27)</f>
        <v>0.9540508856</v>
      </c>
      <c r="E3" s="24">
        <f>POW(D3,2)</f>
        <v>0.9102130923</v>
      </c>
      <c r="F3" s="5">
        <f>_xlfn.FORECAST.LINEAR(0,C3:C27,B3:B27)</f>
        <v>540.0469143</v>
      </c>
    </row>
    <row r="4">
      <c r="A4" s="20">
        <v>2.0</v>
      </c>
      <c r="B4" s="21">
        <v>5000.0</v>
      </c>
      <c r="C4" s="22">
        <v>200.0</v>
      </c>
    </row>
    <row r="5">
      <c r="A5" s="20">
        <v>3.0</v>
      </c>
      <c r="B5" s="21">
        <v>10000.0</v>
      </c>
      <c r="C5" s="22">
        <v>600.0</v>
      </c>
    </row>
    <row r="6">
      <c r="A6" s="20">
        <v>4.0</v>
      </c>
      <c r="B6" s="21">
        <v>10000.0</v>
      </c>
      <c r="C6" s="22">
        <v>700.0</v>
      </c>
    </row>
    <row r="7">
      <c r="A7" s="20">
        <v>5.0</v>
      </c>
      <c r="B7" s="21">
        <v>20000.0</v>
      </c>
      <c r="C7" s="22">
        <v>1000.0</v>
      </c>
    </row>
    <row r="8">
      <c r="A8" s="20">
        <v>6.0</v>
      </c>
      <c r="B8" s="21">
        <v>20000.0</v>
      </c>
      <c r="C8" s="22">
        <v>1200.0</v>
      </c>
    </row>
    <row r="9">
      <c r="A9" s="20">
        <v>7.0</v>
      </c>
      <c r="B9" s="21">
        <v>20000.0</v>
      </c>
      <c r="C9" s="22">
        <v>1500.0</v>
      </c>
    </row>
    <row r="10">
      <c r="A10" s="20">
        <v>8.0</v>
      </c>
      <c r="B10" s="21">
        <v>30000.0</v>
      </c>
      <c r="C10" s="22">
        <v>800.0</v>
      </c>
    </row>
    <row r="11">
      <c r="A11" s="20">
        <v>9.0</v>
      </c>
      <c r="B11" s="21">
        <v>40000.0</v>
      </c>
      <c r="C11" s="22">
        <v>1000.0</v>
      </c>
    </row>
    <row r="12">
      <c r="A12" s="20">
        <v>10.0</v>
      </c>
      <c r="B12" s="21">
        <v>50000.0</v>
      </c>
      <c r="C12" s="22">
        <v>2000.0</v>
      </c>
    </row>
    <row r="13">
      <c r="A13" s="20">
        <v>11.0</v>
      </c>
      <c r="B13" s="21">
        <v>60000.0</v>
      </c>
      <c r="C13" s="22">
        <v>2000.0</v>
      </c>
    </row>
    <row r="14">
      <c r="A14" s="20">
        <v>12.0</v>
      </c>
      <c r="B14" s="21">
        <v>70000.0</v>
      </c>
      <c r="C14" s="22">
        <v>2500.0</v>
      </c>
    </row>
    <row r="15">
      <c r="A15" s="20">
        <v>13.0</v>
      </c>
      <c r="B15" s="21">
        <v>70000.0</v>
      </c>
      <c r="C15" s="22">
        <v>3000.0</v>
      </c>
    </row>
    <row r="16">
      <c r="A16" s="20">
        <v>14.0</v>
      </c>
      <c r="B16" s="21">
        <v>80000.0</v>
      </c>
      <c r="C16" s="22">
        <v>2500.0</v>
      </c>
    </row>
    <row r="17">
      <c r="A17" s="20">
        <v>15.0</v>
      </c>
      <c r="B17" s="21">
        <v>100000.0</v>
      </c>
      <c r="C17" s="22">
        <v>4000.0</v>
      </c>
    </row>
    <row r="18">
      <c r="A18" s="20">
        <v>16.0</v>
      </c>
      <c r="B18" s="21">
        <v>100000.0</v>
      </c>
      <c r="C18" s="22">
        <v>3500.0</v>
      </c>
    </row>
    <row r="19">
      <c r="A19" s="20">
        <v>17.0</v>
      </c>
      <c r="B19" s="21">
        <v>100000.0</v>
      </c>
      <c r="C19" s="22">
        <v>4000.0</v>
      </c>
    </row>
    <row r="20">
      <c r="A20" s="20">
        <v>18.0</v>
      </c>
      <c r="B20" s="21">
        <v>120000.0</v>
      </c>
      <c r="C20" s="22">
        <v>3000.0</v>
      </c>
    </row>
    <row r="21">
      <c r="A21" s="20">
        <v>19.0</v>
      </c>
      <c r="B21" s="21">
        <v>120000.0</v>
      </c>
      <c r="C21" s="22">
        <v>4000.0</v>
      </c>
    </row>
    <row r="22">
      <c r="A22" s="20">
        <v>20.0</v>
      </c>
      <c r="B22" s="21">
        <v>140000.0</v>
      </c>
      <c r="C22" s="22">
        <v>4000.0</v>
      </c>
    </row>
    <row r="23">
      <c r="A23" s="20">
        <v>21.0</v>
      </c>
      <c r="B23" s="21">
        <v>150000.0</v>
      </c>
      <c r="C23" s="22">
        <v>5000.0</v>
      </c>
    </row>
    <row r="24">
      <c r="A24" s="20">
        <v>22.0</v>
      </c>
      <c r="B24" s="21">
        <v>180000.0</v>
      </c>
      <c r="C24" s="22">
        <v>4000.0</v>
      </c>
    </row>
    <row r="25">
      <c r="A25" s="20">
        <v>23.0</v>
      </c>
      <c r="B25" s="21">
        <v>180000.0</v>
      </c>
      <c r="C25" s="22">
        <v>5000.0</v>
      </c>
    </row>
    <row r="26">
      <c r="A26" s="20">
        <v>24.0</v>
      </c>
      <c r="B26" s="21">
        <v>200000.0</v>
      </c>
      <c r="C26" s="22">
        <v>6000.0</v>
      </c>
    </row>
    <row r="27">
      <c r="A27" s="20">
        <v>25.0</v>
      </c>
      <c r="B27" s="21">
        <v>200000.0</v>
      </c>
      <c r="C27" s="22">
        <v>5000.0</v>
      </c>
    </row>
    <row r="28">
      <c r="A28" s="25" t="s">
        <v>19</v>
      </c>
      <c r="B28" s="26">
        <f t="shared" ref="B28:C28" si="1">SUM(B3:B27)</f>
        <v>2078000</v>
      </c>
      <c r="C28" s="26">
        <f t="shared" si="1"/>
        <v>66650</v>
      </c>
      <c r="D28" s="27"/>
    </row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38"/>
    <col customWidth="1" min="2" max="2" width="14.13"/>
    <col customWidth="1" min="3" max="3" width="14.38"/>
    <col customWidth="1" min="4" max="4" width="8.88"/>
    <col customWidth="1" min="5" max="7" width="4.75"/>
    <col customWidth="1" min="8" max="26" width="14.38"/>
  </cols>
  <sheetData>
    <row r="1">
      <c r="A1" s="28" t="s">
        <v>20</v>
      </c>
      <c r="B1" s="29" t="s">
        <v>21</v>
      </c>
    </row>
    <row r="2">
      <c r="A2" s="30">
        <v>43101.0</v>
      </c>
      <c r="B2" s="11">
        <v>13.0</v>
      </c>
    </row>
    <row r="3">
      <c r="A3" s="30">
        <v>43132.0</v>
      </c>
      <c r="B3" s="11">
        <v>19.0</v>
      </c>
    </row>
    <row r="4">
      <c r="A4" s="30">
        <v>43160.0</v>
      </c>
      <c r="B4" s="11">
        <v>30.0</v>
      </c>
    </row>
    <row r="5">
      <c r="A5" s="30">
        <v>43191.0</v>
      </c>
      <c r="B5" s="11">
        <v>25.0</v>
      </c>
    </row>
    <row r="6">
      <c r="A6" s="30">
        <v>43221.0</v>
      </c>
      <c r="B6" s="11">
        <v>31.0</v>
      </c>
    </row>
    <row r="7">
      <c r="A7" s="30">
        <v>43252.0</v>
      </c>
      <c r="B7" s="11">
        <v>37.0</v>
      </c>
    </row>
    <row r="8">
      <c r="A8" s="30">
        <v>43282.0</v>
      </c>
      <c r="B8" s="11">
        <v>63.0</v>
      </c>
    </row>
    <row r="9">
      <c r="A9" s="30">
        <v>43313.0</v>
      </c>
      <c r="B9" s="11">
        <v>56.0</v>
      </c>
    </row>
    <row r="10">
      <c r="A10" s="30">
        <v>43344.0</v>
      </c>
      <c r="B10" s="11">
        <v>53.0</v>
      </c>
    </row>
    <row r="11">
      <c r="A11" s="30">
        <v>43374.0</v>
      </c>
      <c r="B11" s="11">
        <v>59.0</v>
      </c>
    </row>
    <row r="12">
      <c r="A12" s="30">
        <v>43405.0</v>
      </c>
      <c r="B12" s="11">
        <v>50.0</v>
      </c>
    </row>
    <row r="13">
      <c r="A13" s="30">
        <v>43435.0</v>
      </c>
      <c r="B13" s="11">
        <v>98.0</v>
      </c>
      <c r="E13" s="7">
        <v>2018.0</v>
      </c>
      <c r="F13" s="7">
        <v>2019.0</v>
      </c>
      <c r="G13" s="7">
        <v>2020.0</v>
      </c>
    </row>
    <row r="14">
      <c r="A14" s="30">
        <v>43466.0</v>
      </c>
      <c r="B14" s="11">
        <v>73.0</v>
      </c>
      <c r="D14" s="7" t="s">
        <v>22</v>
      </c>
      <c r="E14" s="11">
        <v>13.0</v>
      </c>
      <c r="F14" s="11">
        <v>73.0</v>
      </c>
      <c r="G14" s="11">
        <v>134.0</v>
      </c>
    </row>
    <row r="15">
      <c r="A15" s="30">
        <v>43497.0</v>
      </c>
      <c r="B15" s="11">
        <v>92.0</v>
      </c>
      <c r="D15" s="7" t="s">
        <v>23</v>
      </c>
      <c r="E15" s="11">
        <v>19.0</v>
      </c>
      <c r="F15" s="11">
        <v>92.0</v>
      </c>
      <c r="G15" s="11">
        <v>166.0</v>
      </c>
    </row>
    <row r="16">
      <c r="A16" s="30">
        <v>43525.0</v>
      </c>
      <c r="B16" s="11">
        <v>108.0</v>
      </c>
      <c r="D16" s="7" t="s">
        <v>24</v>
      </c>
      <c r="E16" s="11">
        <v>30.0</v>
      </c>
      <c r="F16" s="11">
        <v>108.0</v>
      </c>
      <c r="G16" s="11">
        <v>187.0</v>
      </c>
    </row>
    <row r="17">
      <c r="A17" s="30">
        <v>43556.0</v>
      </c>
      <c r="B17" s="11">
        <v>71.0</v>
      </c>
      <c r="D17" s="7" t="s">
        <v>25</v>
      </c>
      <c r="E17" s="11">
        <v>25.0</v>
      </c>
      <c r="F17" s="11">
        <v>71.0</v>
      </c>
      <c r="G17" s="11">
        <v>120.0</v>
      </c>
    </row>
    <row r="18">
      <c r="A18" s="30">
        <v>43586.0</v>
      </c>
      <c r="B18" s="11">
        <v>82.0</v>
      </c>
      <c r="D18" s="7" t="s">
        <v>26</v>
      </c>
      <c r="E18" s="11">
        <v>31.0</v>
      </c>
      <c r="F18" s="11">
        <v>82.0</v>
      </c>
      <c r="G18" s="11">
        <v>138.0</v>
      </c>
    </row>
    <row r="19">
      <c r="A19" s="30">
        <v>43617.0</v>
      </c>
      <c r="B19" s="11">
        <v>98.0</v>
      </c>
      <c r="D19" s="7" t="s">
        <v>27</v>
      </c>
      <c r="E19" s="11">
        <v>37.0</v>
      </c>
      <c r="F19" s="11">
        <v>98.0</v>
      </c>
      <c r="G19" s="11">
        <v>159.0</v>
      </c>
    </row>
    <row r="20">
      <c r="A20" s="30">
        <v>43647.0</v>
      </c>
      <c r="B20" s="11">
        <v>154.0</v>
      </c>
      <c r="D20" s="7" t="s">
        <v>28</v>
      </c>
      <c r="E20" s="11">
        <v>63.0</v>
      </c>
      <c r="F20" s="11">
        <v>154.0</v>
      </c>
      <c r="G20" s="11">
        <v>244.0</v>
      </c>
    </row>
    <row r="21">
      <c r="A21" s="30">
        <v>43678.0</v>
      </c>
      <c r="B21" s="11">
        <v>130.0</v>
      </c>
      <c r="D21" s="7" t="s">
        <v>29</v>
      </c>
      <c r="E21" s="11">
        <v>56.0</v>
      </c>
      <c r="F21" s="11">
        <v>130.0</v>
      </c>
      <c r="G21" s="11">
        <v>199.0</v>
      </c>
    </row>
    <row r="22">
      <c r="A22" s="30">
        <v>43709.0</v>
      </c>
      <c r="B22" s="11">
        <v>112.0</v>
      </c>
      <c r="D22" s="7" t="s">
        <v>30</v>
      </c>
      <c r="E22" s="11">
        <v>53.0</v>
      </c>
      <c r="F22" s="11">
        <v>112.0</v>
      </c>
      <c r="G22" s="11">
        <v>172.0</v>
      </c>
    </row>
    <row r="23">
      <c r="A23" s="30">
        <v>43739.0</v>
      </c>
      <c r="B23" s="11">
        <v>117.0</v>
      </c>
      <c r="D23" s="7" t="s">
        <v>31</v>
      </c>
      <c r="E23" s="11">
        <v>59.0</v>
      </c>
      <c r="F23" s="11">
        <v>117.0</v>
      </c>
      <c r="G23" s="11">
        <v>177.0</v>
      </c>
    </row>
    <row r="24">
      <c r="A24" s="30">
        <v>43770.0</v>
      </c>
      <c r="B24" s="11">
        <v>101.0</v>
      </c>
      <c r="D24" s="7" t="s">
        <v>32</v>
      </c>
      <c r="E24" s="11">
        <v>50.0</v>
      </c>
      <c r="F24" s="11">
        <v>101.0</v>
      </c>
      <c r="G24" s="11">
        <v>147.0</v>
      </c>
    </row>
    <row r="25">
      <c r="A25" s="30">
        <v>43800.0</v>
      </c>
      <c r="B25" s="11">
        <v>188.0</v>
      </c>
      <c r="D25" s="7" t="s">
        <v>33</v>
      </c>
      <c r="E25" s="11">
        <v>98.0</v>
      </c>
      <c r="F25" s="11">
        <v>188.0</v>
      </c>
      <c r="G25" s="11">
        <v>278.0</v>
      </c>
    </row>
    <row r="26">
      <c r="A26" s="30">
        <v>43831.0</v>
      </c>
      <c r="B26" s="11">
        <v>134.0</v>
      </c>
    </row>
    <row r="27">
      <c r="A27" s="30">
        <v>43862.0</v>
      </c>
      <c r="B27" s="11">
        <v>166.0</v>
      </c>
    </row>
    <row r="28">
      <c r="A28" s="30">
        <v>43891.0</v>
      </c>
      <c r="B28" s="11">
        <v>187.0</v>
      </c>
    </row>
    <row r="29">
      <c r="A29" s="30">
        <v>43922.0</v>
      </c>
      <c r="B29" s="11">
        <v>120.0</v>
      </c>
    </row>
    <row r="30">
      <c r="A30" s="30">
        <v>43952.0</v>
      </c>
      <c r="B30" s="11">
        <v>138.0</v>
      </c>
    </row>
    <row r="31">
      <c r="A31" s="30">
        <v>43983.0</v>
      </c>
      <c r="B31" s="11">
        <v>159.0</v>
      </c>
    </row>
    <row r="32">
      <c r="A32" s="30">
        <v>44013.0</v>
      </c>
      <c r="B32" s="11">
        <v>244.0</v>
      </c>
    </row>
    <row r="33">
      <c r="A33" s="30">
        <v>44044.0</v>
      </c>
      <c r="B33" s="11">
        <v>199.0</v>
      </c>
    </row>
    <row r="34">
      <c r="A34" s="30">
        <v>44075.0</v>
      </c>
      <c r="B34" s="11">
        <v>172.0</v>
      </c>
    </row>
    <row r="35">
      <c r="A35" s="30">
        <v>44105.0</v>
      </c>
      <c r="B35" s="11">
        <v>177.0</v>
      </c>
    </row>
    <row r="36">
      <c r="A36" s="30">
        <v>44136.0</v>
      </c>
      <c r="B36" s="11">
        <v>147.0</v>
      </c>
    </row>
    <row r="37">
      <c r="A37" s="30">
        <v>44166.0</v>
      </c>
      <c r="B37" s="11">
        <v>278.0</v>
      </c>
    </row>
    <row r="38">
      <c r="A38" s="31"/>
    </row>
    <row r="39">
      <c r="A39" s="31"/>
    </row>
    <row r="40">
      <c r="A40" s="31"/>
    </row>
    <row r="41">
      <c r="A41" s="31"/>
    </row>
    <row r="42">
      <c r="A42" s="31"/>
    </row>
    <row r="43">
      <c r="A43" s="31"/>
    </row>
    <row r="44">
      <c r="A44" s="31"/>
    </row>
    <row r="45">
      <c r="A45" s="31"/>
    </row>
    <row r="46">
      <c r="A46" s="31"/>
    </row>
    <row r="47">
      <c r="A47" s="31"/>
    </row>
    <row r="48">
      <c r="A48" s="31"/>
    </row>
    <row r="49">
      <c r="A49" s="31"/>
    </row>
    <row r="50">
      <c r="A50" s="31"/>
    </row>
    <row r="51">
      <c r="A51" s="31"/>
    </row>
    <row r="52">
      <c r="A52" s="31"/>
    </row>
    <row r="53">
      <c r="A53" s="31"/>
    </row>
    <row r="54">
      <c r="A54" s="31"/>
    </row>
    <row r="55">
      <c r="A55" s="31"/>
    </row>
    <row r="56">
      <c r="A56" s="31"/>
    </row>
    <row r="57">
      <c r="A57" s="31"/>
    </row>
    <row r="58">
      <c r="A58" s="31"/>
    </row>
    <row r="59">
      <c r="A59" s="31"/>
    </row>
    <row r="60">
      <c r="A60" s="31"/>
    </row>
    <row r="61">
      <c r="A61" s="31"/>
    </row>
    <row r="62">
      <c r="A62" s="31"/>
    </row>
    <row r="63">
      <c r="A63" s="31"/>
    </row>
    <row r="64">
      <c r="A64" s="31"/>
    </row>
    <row r="65">
      <c r="A65" s="31"/>
    </row>
    <row r="66">
      <c r="A66" s="31"/>
    </row>
    <row r="67">
      <c r="A67" s="31"/>
    </row>
    <row r="68">
      <c r="A68" s="31"/>
    </row>
    <row r="69">
      <c r="A69" s="31"/>
    </row>
    <row r="70">
      <c r="A70" s="31"/>
    </row>
    <row r="71">
      <c r="A71" s="31"/>
    </row>
    <row r="72">
      <c r="A72" s="31"/>
    </row>
    <row r="73">
      <c r="A73" s="31"/>
    </row>
    <row r="74">
      <c r="A74" s="31"/>
    </row>
    <row r="75">
      <c r="A75" s="31"/>
    </row>
    <row r="76">
      <c r="A76" s="31"/>
    </row>
    <row r="77">
      <c r="A77" s="31"/>
    </row>
    <row r="78">
      <c r="A78" s="31"/>
    </row>
    <row r="79">
      <c r="A79" s="31"/>
    </row>
    <row r="80">
      <c r="A80" s="31"/>
    </row>
    <row r="81">
      <c r="A81" s="31"/>
    </row>
    <row r="82">
      <c r="A82" s="31"/>
    </row>
    <row r="83">
      <c r="A83" s="31"/>
    </row>
    <row r="84">
      <c r="A84" s="31"/>
    </row>
    <row r="85">
      <c r="A85" s="31"/>
    </row>
    <row r="86">
      <c r="A86" s="31"/>
    </row>
    <row r="87">
      <c r="A87" s="31"/>
    </row>
    <row r="88">
      <c r="A88" s="31"/>
    </row>
    <row r="89">
      <c r="A89" s="31"/>
    </row>
    <row r="90">
      <c r="A90" s="31"/>
    </row>
    <row r="91">
      <c r="A91" s="31"/>
    </row>
    <row r="92">
      <c r="A92" s="31"/>
    </row>
    <row r="93">
      <c r="A93" s="31"/>
    </row>
    <row r="94">
      <c r="A94" s="31"/>
    </row>
    <row r="95">
      <c r="A95" s="31"/>
    </row>
    <row r="96">
      <c r="A96" s="31"/>
    </row>
    <row r="97">
      <c r="A97" s="31"/>
    </row>
    <row r="98">
      <c r="A98" s="31"/>
    </row>
    <row r="99">
      <c r="A99" s="31"/>
    </row>
    <row r="100">
      <c r="A100" s="31"/>
    </row>
    <row r="101">
      <c r="A101" s="31"/>
    </row>
    <row r="102">
      <c r="A102" s="31"/>
    </row>
    <row r="103">
      <c r="A103" s="31"/>
    </row>
    <row r="104">
      <c r="A104" s="31"/>
    </row>
    <row r="105">
      <c r="A105" s="31"/>
    </row>
    <row r="106">
      <c r="A106" s="31"/>
    </row>
    <row r="107">
      <c r="A107" s="31"/>
    </row>
    <row r="108">
      <c r="A108" s="31"/>
    </row>
    <row r="109">
      <c r="A109" s="31"/>
    </row>
    <row r="110">
      <c r="A110" s="31"/>
    </row>
    <row r="111">
      <c r="A111" s="31"/>
    </row>
    <row r="112">
      <c r="A112" s="31"/>
    </row>
    <row r="113">
      <c r="A113" s="31"/>
    </row>
    <row r="114">
      <c r="A114" s="31"/>
    </row>
    <row r="115">
      <c r="A115" s="31"/>
    </row>
    <row r="116">
      <c r="A116" s="31"/>
    </row>
    <row r="117">
      <c r="A117" s="31"/>
    </row>
    <row r="118">
      <c r="A118" s="31"/>
    </row>
    <row r="119">
      <c r="A119" s="31"/>
    </row>
    <row r="120">
      <c r="A120" s="31"/>
    </row>
    <row r="121">
      <c r="A121" s="31"/>
    </row>
    <row r="122">
      <c r="A122" s="31"/>
    </row>
    <row r="123">
      <c r="A123" s="31"/>
    </row>
    <row r="124">
      <c r="A124" s="31"/>
    </row>
    <row r="125">
      <c r="A125" s="31"/>
    </row>
    <row r="126">
      <c r="A126" s="31"/>
    </row>
    <row r="127">
      <c r="A127" s="31"/>
    </row>
    <row r="128">
      <c r="A128" s="31"/>
    </row>
    <row r="129">
      <c r="A129" s="31"/>
    </row>
    <row r="130">
      <c r="A130" s="31"/>
    </row>
    <row r="131">
      <c r="A131" s="31"/>
    </row>
    <row r="132">
      <c r="A132" s="31"/>
    </row>
    <row r="133">
      <c r="A133" s="31"/>
    </row>
    <row r="134">
      <c r="A134" s="31"/>
    </row>
    <row r="135">
      <c r="A135" s="31"/>
    </row>
    <row r="136">
      <c r="A136" s="31"/>
    </row>
    <row r="137">
      <c r="A137" s="31"/>
    </row>
    <row r="138">
      <c r="A138" s="31"/>
    </row>
    <row r="139">
      <c r="A139" s="31"/>
    </row>
    <row r="140">
      <c r="A140" s="31"/>
    </row>
    <row r="141">
      <c r="A141" s="31"/>
    </row>
    <row r="142">
      <c r="A142" s="31"/>
    </row>
    <row r="143">
      <c r="A143" s="31"/>
    </row>
    <row r="144">
      <c r="A144" s="31"/>
    </row>
    <row r="145">
      <c r="A145" s="31"/>
    </row>
    <row r="146">
      <c r="A146" s="31"/>
    </row>
    <row r="147">
      <c r="A147" s="31"/>
    </row>
    <row r="148">
      <c r="A148" s="31"/>
    </row>
    <row r="149">
      <c r="A149" s="31"/>
    </row>
    <row r="150">
      <c r="A150" s="31"/>
    </row>
    <row r="151">
      <c r="A151" s="31"/>
    </row>
    <row r="152">
      <c r="A152" s="31"/>
    </row>
    <row r="153">
      <c r="A153" s="31"/>
    </row>
    <row r="154">
      <c r="A154" s="31"/>
    </row>
    <row r="155">
      <c r="A155" s="31"/>
    </row>
    <row r="156">
      <c r="A156" s="31"/>
    </row>
    <row r="157">
      <c r="A157" s="31"/>
    </row>
    <row r="158">
      <c r="A158" s="31"/>
    </row>
    <row r="159">
      <c r="A159" s="31"/>
    </row>
    <row r="160">
      <c r="A160" s="31"/>
    </row>
    <row r="161">
      <c r="A161" s="31"/>
    </row>
    <row r="162">
      <c r="A162" s="31"/>
    </row>
    <row r="163">
      <c r="A163" s="31"/>
    </row>
    <row r="164">
      <c r="A164" s="31"/>
    </row>
    <row r="165">
      <c r="A165" s="31"/>
    </row>
    <row r="166">
      <c r="A166" s="31"/>
    </row>
    <row r="167">
      <c r="A167" s="31"/>
    </row>
    <row r="168">
      <c r="A168" s="31"/>
    </row>
    <row r="169">
      <c r="A169" s="31"/>
    </row>
    <row r="170">
      <c r="A170" s="31"/>
    </row>
    <row r="171">
      <c r="A171" s="31"/>
    </row>
    <row r="172">
      <c r="A172" s="31"/>
    </row>
    <row r="173">
      <c r="A173" s="31"/>
    </row>
    <row r="174">
      <c r="A174" s="31"/>
    </row>
    <row r="175">
      <c r="A175" s="31"/>
    </row>
    <row r="176">
      <c r="A176" s="31"/>
    </row>
    <row r="177">
      <c r="A177" s="31"/>
    </row>
    <row r="178">
      <c r="A178" s="31"/>
    </row>
    <row r="179">
      <c r="A179" s="31"/>
    </row>
    <row r="180">
      <c r="A180" s="31"/>
    </row>
    <row r="181">
      <c r="A181" s="31"/>
    </row>
    <row r="182">
      <c r="A182" s="31"/>
    </row>
    <row r="183">
      <c r="A183" s="31"/>
    </row>
    <row r="184">
      <c r="A184" s="31"/>
    </row>
    <row r="185">
      <c r="A185" s="31"/>
    </row>
    <row r="186">
      <c r="A186" s="31"/>
    </row>
    <row r="187">
      <c r="A187" s="31"/>
    </row>
    <row r="188">
      <c r="A188" s="31"/>
    </row>
    <row r="189">
      <c r="A189" s="31"/>
    </row>
    <row r="190">
      <c r="A190" s="31"/>
    </row>
    <row r="191">
      <c r="A191" s="31"/>
    </row>
    <row r="192">
      <c r="A192" s="31"/>
    </row>
    <row r="193">
      <c r="A193" s="31"/>
    </row>
    <row r="194">
      <c r="A194" s="31"/>
    </row>
    <row r="195">
      <c r="A195" s="31"/>
    </row>
    <row r="196">
      <c r="A196" s="31"/>
    </row>
    <row r="197">
      <c r="A197" s="31"/>
    </row>
    <row r="198">
      <c r="A198" s="31"/>
    </row>
    <row r="199">
      <c r="A199" s="31"/>
    </row>
    <row r="200">
      <c r="A200" s="31"/>
    </row>
    <row r="201">
      <c r="A201" s="31"/>
    </row>
    <row r="202">
      <c r="A202" s="31"/>
    </row>
    <row r="203">
      <c r="A203" s="31"/>
    </row>
    <row r="204">
      <c r="A204" s="31"/>
    </row>
    <row r="205">
      <c r="A205" s="31"/>
    </row>
    <row r="206">
      <c r="A206" s="31"/>
    </row>
    <row r="207">
      <c r="A207" s="31"/>
    </row>
    <row r="208">
      <c r="A208" s="31"/>
    </row>
    <row r="209">
      <c r="A209" s="31"/>
    </row>
    <row r="210">
      <c r="A210" s="31"/>
    </row>
    <row r="211">
      <c r="A211" s="31"/>
    </row>
    <row r="212">
      <c r="A212" s="31"/>
    </row>
    <row r="213">
      <c r="A213" s="31"/>
    </row>
    <row r="214">
      <c r="A214" s="31"/>
    </row>
    <row r="215">
      <c r="A215" s="31"/>
    </row>
    <row r="216">
      <c r="A216" s="31"/>
    </row>
    <row r="217">
      <c r="A217" s="31"/>
    </row>
    <row r="218">
      <c r="A218" s="31"/>
    </row>
    <row r="219">
      <c r="A219" s="31"/>
    </row>
    <row r="220">
      <c r="A220" s="31"/>
    </row>
    <row r="221">
      <c r="A221" s="31"/>
    </row>
    <row r="222">
      <c r="A222" s="31"/>
    </row>
    <row r="223">
      <c r="A223" s="31"/>
    </row>
    <row r="224">
      <c r="A224" s="31"/>
    </row>
    <row r="225">
      <c r="A225" s="31"/>
    </row>
    <row r="226">
      <c r="A226" s="31"/>
    </row>
    <row r="227">
      <c r="A227" s="31"/>
    </row>
    <row r="228">
      <c r="A228" s="31"/>
    </row>
    <row r="229">
      <c r="A229" s="31"/>
    </row>
    <row r="230">
      <c r="A230" s="31"/>
    </row>
    <row r="231">
      <c r="A231" s="31"/>
    </row>
    <row r="232">
      <c r="A232" s="31"/>
    </row>
    <row r="233">
      <c r="A233" s="31"/>
    </row>
    <row r="234">
      <c r="A234" s="31"/>
    </row>
    <row r="235">
      <c r="A235" s="31"/>
    </row>
    <row r="236">
      <c r="A236" s="31"/>
    </row>
    <row r="237">
      <c r="A237" s="31"/>
    </row>
    <row r="238">
      <c r="A238" s="31"/>
    </row>
    <row r="239">
      <c r="A239" s="31"/>
    </row>
    <row r="240">
      <c r="A240" s="31"/>
    </row>
    <row r="241">
      <c r="A241" s="31"/>
    </row>
    <row r="242">
      <c r="A242" s="31"/>
    </row>
    <row r="243">
      <c r="A243" s="31"/>
    </row>
    <row r="244">
      <c r="A244" s="31"/>
    </row>
    <row r="245">
      <c r="A245" s="31"/>
    </row>
    <row r="246">
      <c r="A246" s="31"/>
    </row>
    <row r="247">
      <c r="A247" s="31"/>
    </row>
    <row r="248">
      <c r="A248" s="31"/>
    </row>
    <row r="249">
      <c r="A249" s="31"/>
    </row>
    <row r="250">
      <c r="A250" s="31"/>
    </row>
    <row r="251">
      <c r="A251" s="31"/>
    </row>
    <row r="252">
      <c r="A252" s="31"/>
    </row>
    <row r="253">
      <c r="A253" s="31"/>
    </row>
    <row r="254">
      <c r="A254" s="31"/>
    </row>
    <row r="255">
      <c r="A255" s="31"/>
    </row>
    <row r="256">
      <c r="A256" s="31"/>
    </row>
    <row r="257">
      <c r="A257" s="31"/>
    </row>
    <row r="258">
      <c r="A258" s="31"/>
    </row>
    <row r="259">
      <c r="A259" s="31"/>
    </row>
    <row r="260">
      <c r="A260" s="31"/>
    </row>
    <row r="261">
      <c r="A261" s="31"/>
    </row>
    <row r="262">
      <c r="A262" s="31"/>
    </row>
    <row r="263">
      <c r="A263" s="31"/>
    </row>
    <row r="264">
      <c r="A264" s="31"/>
    </row>
    <row r="265">
      <c r="A265" s="31"/>
    </row>
    <row r="266">
      <c r="A266" s="31"/>
    </row>
    <row r="267">
      <c r="A267" s="31"/>
    </row>
    <row r="268">
      <c r="A268" s="31"/>
    </row>
    <row r="269">
      <c r="A269" s="31"/>
    </row>
    <row r="270">
      <c r="A270" s="31"/>
    </row>
    <row r="271">
      <c r="A271" s="31"/>
    </row>
    <row r="272">
      <c r="A272" s="31"/>
    </row>
    <row r="273">
      <c r="A273" s="31"/>
    </row>
    <row r="274">
      <c r="A274" s="31"/>
    </row>
    <row r="275">
      <c r="A275" s="31"/>
    </row>
    <row r="276">
      <c r="A276" s="31"/>
    </row>
    <row r="277">
      <c r="A277" s="31"/>
    </row>
    <row r="278">
      <c r="A278" s="31"/>
    </row>
    <row r="279">
      <c r="A279" s="31"/>
    </row>
    <row r="280">
      <c r="A280" s="31"/>
    </row>
    <row r="281">
      <c r="A281" s="31"/>
    </row>
    <row r="282">
      <c r="A282" s="31"/>
    </row>
    <row r="283">
      <c r="A283" s="31"/>
    </row>
    <row r="284">
      <c r="A284" s="31"/>
    </row>
    <row r="285">
      <c r="A285" s="31"/>
    </row>
    <row r="286">
      <c r="A286" s="31"/>
    </row>
    <row r="287">
      <c r="A287" s="31"/>
    </row>
    <row r="288">
      <c r="A288" s="31"/>
    </row>
    <row r="289">
      <c r="A289" s="31"/>
    </row>
    <row r="290">
      <c r="A290" s="31"/>
    </row>
    <row r="291">
      <c r="A291" s="31"/>
    </row>
    <row r="292">
      <c r="A292" s="31"/>
    </row>
    <row r="293">
      <c r="A293" s="31"/>
    </row>
    <row r="294">
      <c r="A294" s="31"/>
    </row>
    <row r="295">
      <c r="A295" s="31"/>
    </row>
    <row r="296">
      <c r="A296" s="31"/>
    </row>
    <row r="297">
      <c r="A297" s="31"/>
    </row>
    <row r="298">
      <c r="A298" s="31"/>
    </row>
    <row r="299">
      <c r="A299" s="31"/>
    </row>
    <row r="300">
      <c r="A300" s="31"/>
    </row>
    <row r="301">
      <c r="A301" s="31"/>
    </row>
    <row r="302">
      <c r="A302" s="31"/>
    </row>
    <row r="303">
      <c r="A303" s="31"/>
    </row>
    <row r="304">
      <c r="A304" s="31"/>
    </row>
    <row r="305">
      <c r="A305" s="31"/>
    </row>
    <row r="306">
      <c r="A306" s="31"/>
    </row>
    <row r="307">
      <c r="A307" s="31"/>
    </row>
    <row r="308">
      <c r="A308" s="31"/>
    </row>
    <row r="309">
      <c r="A309" s="31"/>
    </row>
    <row r="310">
      <c r="A310" s="31"/>
    </row>
    <row r="311">
      <c r="A311" s="31"/>
    </row>
    <row r="312">
      <c r="A312" s="31"/>
    </row>
    <row r="313">
      <c r="A313" s="31"/>
    </row>
    <row r="314">
      <c r="A314" s="31"/>
    </row>
    <row r="315">
      <c r="A315" s="31"/>
    </row>
    <row r="316">
      <c r="A316" s="31"/>
    </row>
    <row r="317">
      <c r="A317" s="31"/>
    </row>
    <row r="318">
      <c r="A318" s="31"/>
    </row>
    <row r="319">
      <c r="A319" s="31"/>
    </row>
    <row r="320">
      <c r="A320" s="31"/>
    </row>
    <row r="321">
      <c r="A321" s="31"/>
    </row>
    <row r="322">
      <c r="A322" s="31"/>
    </row>
    <row r="323">
      <c r="A323" s="31"/>
    </row>
    <row r="324">
      <c r="A324" s="31"/>
    </row>
    <row r="325">
      <c r="A325" s="31"/>
    </row>
    <row r="326">
      <c r="A326" s="31"/>
    </row>
    <row r="327">
      <c r="A327" s="31"/>
    </row>
    <row r="328">
      <c r="A328" s="31"/>
    </row>
    <row r="329">
      <c r="A329" s="31"/>
    </row>
    <row r="330">
      <c r="A330" s="31"/>
    </row>
    <row r="331">
      <c r="A331" s="31"/>
    </row>
    <row r="332">
      <c r="A332" s="31"/>
    </row>
    <row r="333">
      <c r="A333" s="31"/>
    </row>
    <row r="334">
      <c r="A334" s="31"/>
    </row>
    <row r="335">
      <c r="A335" s="31"/>
    </row>
    <row r="336">
      <c r="A336" s="31"/>
    </row>
    <row r="337">
      <c r="A337" s="31"/>
    </row>
    <row r="338">
      <c r="A338" s="31"/>
    </row>
    <row r="339">
      <c r="A339" s="31"/>
    </row>
    <row r="340">
      <c r="A340" s="31"/>
    </row>
    <row r="341">
      <c r="A341" s="31"/>
    </row>
    <row r="342">
      <c r="A342" s="31"/>
    </row>
    <row r="343">
      <c r="A343" s="31"/>
    </row>
    <row r="344">
      <c r="A344" s="31"/>
    </row>
    <row r="345">
      <c r="A345" s="31"/>
    </row>
    <row r="346">
      <c r="A346" s="31"/>
    </row>
    <row r="347">
      <c r="A347" s="31"/>
    </row>
    <row r="348">
      <c r="A348" s="31"/>
    </row>
    <row r="349">
      <c r="A349" s="31"/>
    </row>
    <row r="350">
      <c r="A350" s="31"/>
    </row>
    <row r="351">
      <c r="A351" s="31"/>
    </row>
    <row r="352">
      <c r="A352" s="31"/>
    </row>
    <row r="353">
      <c r="A353" s="31"/>
    </row>
    <row r="354">
      <c r="A354" s="31"/>
    </row>
    <row r="355">
      <c r="A355" s="31"/>
    </row>
    <row r="356">
      <c r="A356" s="31"/>
    </row>
    <row r="357">
      <c r="A357" s="31"/>
    </row>
    <row r="358">
      <c r="A358" s="31"/>
    </row>
    <row r="359">
      <c r="A359" s="31"/>
    </row>
    <row r="360">
      <c r="A360" s="31"/>
    </row>
    <row r="361">
      <c r="A361" s="31"/>
    </row>
    <row r="362">
      <c r="A362" s="31"/>
    </row>
    <row r="363">
      <c r="A363" s="31"/>
    </row>
    <row r="364">
      <c r="A364" s="31"/>
    </row>
    <row r="365">
      <c r="A365" s="31"/>
    </row>
    <row r="366">
      <c r="A366" s="31"/>
    </row>
    <row r="367">
      <c r="A367" s="31"/>
    </row>
    <row r="368">
      <c r="A368" s="31"/>
    </row>
    <row r="369">
      <c r="A369" s="31"/>
    </row>
    <row r="370">
      <c r="A370" s="31"/>
    </row>
    <row r="371">
      <c r="A371" s="31"/>
    </row>
    <row r="372">
      <c r="A372" s="31"/>
    </row>
    <row r="373">
      <c r="A373" s="31"/>
    </row>
    <row r="374">
      <c r="A374" s="31"/>
    </row>
    <row r="375">
      <c r="A375" s="31"/>
    </row>
    <row r="376">
      <c r="A376" s="31"/>
    </row>
    <row r="377">
      <c r="A377" s="31"/>
    </row>
    <row r="378">
      <c r="A378" s="31"/>
    </row>
    <row r="379">
      <c r="A379" s="31"/>
    </row>
    <row r="380">
      <c r="A380" s="31"/>
    </row>
    <row r="381">
      <c r="A381" s="31"/>
    </row>
    <row r="382">
      <c r="A382" s="31"/>
    </row>
    <row r="383">
      <c r="A383" s="31"/>
    </row>
    <row r="384">
      <c r="A384" s="31"/>
    </row>
    <row r="385">
      <c r="A385" s="31"/>
    </row>
    <row r="386">
      <c r="A386" s="31"/>
    </row>
    <row r="387">
      <c r="A387" s="31"/>
    </row>
    <row r="388">
      <c r="A388" s="31"/>
    </row>
    <row r="389">
      <c r="A389" s="31"/>
    </row>
    <row r="390">
      <c r="A390" s="31"/>
    </row>
    <row r="391">
      <c r="A391" s="31"/>
    </row>
    <row r="392">
      <c r="A392" s="31"/>
    </row>
    <row r="393">
      <c r="A393" s="31"/>
    </row>
    <row r="394">
      <c r="A394" s="31"/>
    </row>
    <row r="395">
      <c r="A395" s="31"/>
    </row>
    <row r="396">
      <c r="A396" s="31"/>
    </row>
    <row r="397">
      <c r="A397" s="31"/>
    </row>
    <row r="398">
      <c r="A398" s="31"/>
    </row>
    <row r="399">
      <c r="A399" s="31"/>
    </row>
    <row r="400">
      <c r="A400" s="31"/>
    </row>
    <row r="401">
      <c r="A401" s="31"/>
    </row>
    <row r="402">
      <c r="A402" s="31"/>
    </row>
    <row r="403">
      <c r="A403" s="31"/>
    </row>
    <row r="404">
      <c r="A404" s="31"/>
    </row>
    <row r="405">
      <c r="A405" s="31"/>
    </row>
    <row r="406">
      <c r="A406" s="31"/>
    </row>
    <row r="407">
      <c r="A407" s="31"/>
    </row>
    <row r="408">
      <c r="A408" s="31"/>
    </row>
    <row r="409">
      <c r="A409" s="31"/>
    </row>
    <row r="410">
      <c r="A410" s="31"/>
    </row>
    <row r="411">
      <c r="A411" s="31"/>
    </row>
    <row r="412">
      <c r="A412" s="31"/>
    </row>
    <row r="413">
      <c r="A413" s="31"/>
    </row>
    <row r="414">
      <c r="A414" s="31"/>
    </row>
    <row r="415">
      <c r="A415" s="31"/>
    </row>
    <row r="416">
      <c r="A416" s="31"/>
    </row>
    <row r="417">
      <c r="A417" s="31"/>
    </row>
    <row r="418">
      <c r="A418" s="31"/>
    </row>
    <row r="419">
      <c r="A419" s="31"/>
    </row>
    <row r="420">
      <c r="A420" s="31"/>
    </row>
    <row r="421">
      <c r="A421" s="31"/>
    </row>
    <row r="422">
      <c r="A422" s="31"/>
    </row>
    <row r="423">
      <c r="A423" s="31"/>
    </row>
    <row r="424">
      <c r="A424" s="31"/>
    </row>
    <row r="425">
      <c r="A425" s="31"/>
    </row>
    <row r="426">
      <c r="A426" s="31"/>
    </row>
    <row r="427">
      <c r="A427" s="31"/>
    </row>
    <row r="428">
      <c r="A428" s="31"/>
    </row>
    <row r="429">
      <c r="A429" s="31"/>
    </row>
    <row r="430">
      <c r="A430" s="31"/>
    </row>
    <row r="431">
      <c r="A431" s="31"/>
    </row>
    <row r="432">
      <c r="A432" s="31"/>
    </row>
    <row r="433">
      <c r="A433" s="31"/>
    </row>
    <row r="434">
      <c r="A434" s="31"/>
    </row>
    <row r="435">
      <c r="A435" s="31"/>
    </row>
    <row r="436">
      <c r="A436" s="31"/>
    </row>
    <row r="437">
      <c r="A437" s="31"/>
    </row>
    <row r="438">
      <c r="A438" s="31"/>
    </row>
    <row r="439">
      <c r="A439" s="31"/>
    </row>
    <row r="440">
      <c r="A440" s="31"/>
    </row>
    <row r="441">
      <c r="A441" s="31"/>
    </row>
    <row r="442">
      <c r="A442" s="31"/>
    </row>
    <row r="443">
      <c r="A443" s="31"/>
    </row>
    <row r="444">
      <c r="A444" s="31"/>
    </row>
    <row r="445">
      <c r="A445" s="31"/>
    </row>
    <row r="446">
      <c r="A446" s="31"/>
    </row>
    <row r="447">
      <c r="A447" s="31"/>
    </row>
    <row r="448">
      <c r="A448" s="31"/>
    </row>
    <row r="449">
      <c r="A449" s="31"/>
    </row>
    <row r="450">
      <c r="A450" s="31"/>
    </row>
    <row r="451">
      <c r="A451" s="31"/>
    </row>
    <row r="452">
      <c r="A452" s="31"/>
    </row>
    <row r="453">
      <c r="A453" s="31"/>
    </row>
    <row r="454">
      <c r="A454" s="31"/>
    </row>
    <row r="455">
      <c r="A455" s="31"/>
    </row>
    <row r="456">
      <c r="A456" s="31"/>
    </row>
    <row r="457">
      <c r="A457" s="31"/>
    </row>
    <row r="458">
      <c r="A458" s="31"/>
    </row>
    <row r="459">
      <c r="A459" s="31"/>
    </row>
    <row r="460">
      <c r="A460" s="31"/>
    </row>
    <row r="461">
      <c r="A461" s="31"/>
    </row>
    <row r="462">
      <c r="A462" s="31"/>
    </row>
    <row r="463">
      <c r="A463" s="31"/>
    </row>
    <row r="464">
      <c r="A464" s="31"/>
    </row>
    <row r="465">
      <c r="A465" s="31"/>
    </row>
    <row r="466">
      <c r="A466" s="31"/>
    </row>
    <row r="467">
      <c r="A467" s="31"/>
    </row>
    <row r="468">
      <c r="A468" s="31"/>
    </row>
    <row r="469">
      <c r="A469" s="31"/>
    </row>
    <row r="470">
      <c r="A470" s="31"/>
    </row>
    <row r="471">
      <c r="A471" s="31"/>
    </row>
    <row r="472">
      <c r="A472" s="31"/>
    </row>
    <row r="473">
      <c r="A473" s="31"/>
    </row>
    <row r="474">
      <c r="A474" s="31"/>
    </row>
    <row r="475">
      <c r="A475" s="31"/>
    </row>
    <row r="476">
      <c r="A476" s="31"/>
    </row>
    <row r="477">
      <c r="A477" s="31"/>
    </row>
    <row r="478">
      <c r="A478" s="31"/>
    </row>
    <row r="479">
      <c r="A479" s="31"/>
    </row>
    <row r="480">
      <c r="A480" s="31"/>
    </row>
    <row r="481">
      <c r="A481" s="31"/>
    </row>
    <row r="482">
      <c r="A482" s="31"/>
    </row>
    <row r="483">
      <c r="A483" s="31"/>
    </row>
    <row r="484">
      <c r="A484" s="31"/>
    </row>
    <row r="485">
      <c r="A485" s="31"/>
    </row>
    <row r="486">
      <c r="A486" s="31"/>
    </row>
    <row r="487">
      <c r="A487" s="31"/>
    </row>
    <row r="488">
      <c r="A488" s="31"/>
    </row>
    <row r="489">
      <c r="A489" s="31"/>
    </row>
    <row r="490">
      <c r="A490" s="31"/>
    </row>
    <row r="491">
      <c r="A491" s="31"/>
    </row>
    <row r="492">
      <c r="A492" s="31"/>
    </row>
    <row r="493">
      <c r="A493" s="31"/>
    </row>
    <row r="494">
      <c r="A494" s="31"/>
    </row>
    <row r="495">
      <c r="A495" s="31"/>
    </row>
    <row r="496">
      <c r="A496" s="31"/>
    </row>
    <row r="497">
      <c r="A497" s="31"/>
    </row>
    <row r="498">
      <c r="A498" s="31"/>
    </row>
    <row r="499">
      <c r="A499" s="31"/>
    </row>
    <row r="500">
      <c r="A500" s="31"/>
    </row>
    <row r="501">
      <c r="A501" s="31"/>
    </row>
    <row r="502">
      <c r="A502" s="31"/>
    </row>
    <row r="503">
      <c r="A503" s="31"/>
    </row>
    <row r="504">
      <c r="A504" s="31"/>
    </row>
    <row r="505">
      <c r="A505" s="31"/>
    </row>
    <row r="506">
      <c r="A506" s="31"/>
    </row>
    <row r="507">
      <c r="A507" s="31"/>
    </row>
    <row r="508">
      <c r="A508" s="31"/>
    </row>
    <row r="509">
      <c r="A509" s="31"/>
    </row>
    <row r="510">
      <c r="A510" s="31"/>
    </row>
    <row r="511">
      <c r="A511" s="31"/>
    </row>
    <row r="512">
      <c r="A512" s="31"/>
    </row>
    <row r="513">
      <c r="A513" s="31"/>
    </row>
    <row r="514">
      <c r="A514" s="31"/>
    </row>
    <row r="515">
      <c r="A515" s="31"/>
    </row>
    <row r="516">
      <c r="A516" s="31"/>
    </row>
    <row r="517">
      <c r="A517" s="31"/>
    </row>
    <row r="518">
      <c r="A518" s="31"/>
    </row>
    <row r="519">
      <c r="A519" s="31"/>
    </row>
    <row r="520">
      <c r="A520" s="31"/>
    </row>
    <row r="521">
      <c r="A521" s="31"/>
    </row>
    <row r="522">
      <c r="A522" s="31"/>
    </row>
    <row r="523">
      <c r="A523" s="31"/>
    </row>
    <row r="524">
      <c r="A524" s="31"/>
    </row>
    <row r="525">
      <c r="A525" s="31"/>
    </row>
    <row r="526">
      <c r="A526" s="31"/>
    </row>
    <row r="527">
      <c r="A527" s="31"/>
    </row>
    <row r="528">
      <c r="A528" s="31"/>
    </row>
    <row r="529">
      <c r="A529" s="31"/>
    </row>
    <row r="530">
      <c r="A530" s="31"/>
    </row>
    <row r="531">
      <c r="A531" s="31"/>
    </row>
    <row r="532">
      <c r="A532" s="31"/>
    </row>
    <row r="533">
      <c r="A533" s="31"/>
    </row>
    <row r="534">
      <c r="A534" s="31"/>
    </row>
    <row r="535">
      <c r="A535" s="31"/>
    </row>
    <row r="536">
      <c r="A536" s="31"/>
    </row>
    <row r="537">
      <c r="A537" s="31"/>
    </row>
    <row r="538">
      <c r="A538" s="31"/>
    </row>
    <row r="539">
      <c r="A539" s="31"/>
    </row>
    <row r="540">
      <c r="A540" s="31"/>
    </row>
    <row r="541">
      <c r="A541" s="31"/>
    </row>
    <row r="542">
      <c r="A542" s="31"/>
    </row>
    <row r="543">
      <c r="A543" s="31"/>
    </row>
    <row r="544">
      <c r="A544" s="31"/>
    </row>
    <row r="545">
      <c r="A545" s="31"/>
    </row>
    <row r="546">
      <c r="A546" s="31"/>
    </row>
    <row r="547">
      <c r="A547" s="31"/>
    </row>
    <row r="548">
      <c r="A548" s="31"/>
    </row>
    <row r="549">
      <c r="A549" s="31"/>
    </row>
    <row r="550">
      <c r="A550" s="31"/>
    </row>
    <row r="551">
      <c r="A551" s="31"/>
    </row>
    <row r="552">
      <c r="A552" s="31"/>
    </row>
    <row r="553">
      <c r="A553" s="31"/>
    </row>
    <row r="554">
      <c r="A554" s="31"/>
    </row>
    <row r="555">
      <c r="A555" s="31"/>
    </row>
    <row r="556">
      <c r="A556" s="31"/>
    </row>
    <row r="557">
      <c r="A557" s="31"/>
    </row>
    <row r="558">
      <c r="A558" s="31"/>
    </row>
    <row r="559">
      <c r="A559" s="31"/>
    </row>
    <row r="560">
      <c r="A560" s="31"/>
    </row>
    <row r="561">
      <c r="A561" s="31"/>
    </row>
    <row r="562">
      <c r="A562" s="31"/>
    </row>
    <row r="563">
      <c r="A563" s="31"/>
    </row>
    <row r="564">
      <c r="A564" s="31"/>
    </row>
    <row r="565">
      <c r="A565" s="31"/>
    </row>
    <row r="566">
      <c r="A566" s="31"/>
    </row>
    <row r="567">
      <c r="A567" s="31"/>
    </row>
    <row r="568">
      <c r="A568" s="31"/>
    </row>
    <row r="569">
      <c r="A569" s="31"/>
    </row>
    <row r="570">
      <c r="A570" s="31"/>
    </row>
    <row r="571">
      <c r="A571" s="31"/>
    </row>
    <row r="572">
      <c r="A572" s="31"/>
    </row>
    <row r="573">
      <c r="A573" s="31"/>
    </row>
    <row r="574">
      <c r="A574" s="31"/>
    </row>
    <row r="575">
      <c r="A575" s="31"/>
    </row>
    <row r="576">
      <c r="A576" s="31"/>
    </row>
    <row r="577">
      <c r="A577" s="31"/>
    </row>
    <row r="578">
      <c r="A578" s="31"/>
    </row>
    <row r="579">
      <c r="A579" s="31"/>
    </row>
    <row r="580">
      <c r="A580" s="31"/>
    </row>
    <row r="581">
      <c r="A581" s="31"/>
    </row>
    <row r="582">
      <c r="A582" s="31"/>
    </row>
    <row r="583">
      <c r="A583" s="31"/>
    </row>
    <row r="584">
      <c r="A584" s="31"/>
    </row>
    <row r="585">
      <c r="A585" s="31"/>
    </row>
    <row r="586">
      <c r="A586" s="31"/>
    </row>
    <row r="587">
      <c r="A587" s="31"/>
    </row>
    <row r="588">
      <c r="A588" s="31"/>
    </row>
    <row r="589">
      <c r="A589" s="31"/>
    </row>
    <row r="590">
      <c r="A590" s="31"/>
    </row>
    <row r="591">
      <c r="A591" s="31"/>
    </row>
    <row r="592">
      <c r="A592" s="31"/>
    </row>
    <row r="593">
      <c r="A593" s="31"/>
    </row>
    <row r="594">
      <c r="A594" s="31"/>
    </row>
    <row r="595">
      <c r="A595" s="31"/>
    </row>
    <row r="596">
      <c r="A596" s="31"/>
    </row>
    <row r="597">
      <c r="A597" s="31"/>
    </row>
    <row r="598">
      <c r="A598" s="31"/>
    </row>
    <row r="599">
      <c r="A599" s="31"/>
    </row>
    <row r="600">
      <c r="A600" s="31"/>
    </row>
    <row r="601">
      <c r="A601" s="31"/>
    </row>
    <row r="602">
      <c r="A602" s="31"/>
    </row>
    <row r="603">
      <c r="A603" s="31"/>
    </row>
    <row r="604">
      <c r="A604" s="31"/>
    </row>
    <row r="605">
      <c r="A605" s="31"/>
    </row>
    <row r="606">
      <c r="A606" s="31"/>
    </row>
    <row r="607">
      <c r="A607" s="31"/>
    </row>
    <row r="608">
      <c r="A608" s="31"/>
    </row>
    <row r="609">
      <c r="A609" s="31"/>
    </row>
    <row r="610">
      <c r="A610" s="31"/>
    </row>
    <row r="611">
      <c r="A611" s="31"/>
    </row>
    <row r="612">
      <c r="A612" s="31"/>
    </row>
    <row r="613">
      <c r="A613" s="31"/>
    </row>
    <row r="614">
      <c r="A614" s="31"/>
    </row>
    <row r="615">
      <c r="A615" s="31"/>
    </row>
    <row r="616">
      <c r="A616" s="31"/>
    </row>
    <row r="617">
      <c r="A617" s="31"/>
    </row>
    <row r="618">
      <c r="A618" s="31"/>
    </row>
    <row r="619">
      <c r="A619" s="31"/>
    </row>
    <row r="620">
      <c r="A620" s="31"/>
    </row>
    <row r="621">
      <c r="A621" s="31"/>
    </row>
    <row r="622">
      <c r="A622" s="31"/>
    </row>
    <row r="623">
      <c r="A623" s="31"/>
    </row>
    <row r="624">
      <c r="A624" s="31"/>
    </row>
    <row r="625">
      <c r="A625" s="31"/>
    </row>
    <row r="626">
      <c r="A626" s="31"/>
    </row>
    <row r="627">
      <c r="A627" s="31"/>
    </row>
    <row r="628">
      <c r="A628" s="31"/>
    </row>
    <row r="629">
      <c r="A629" s="31"/>
    </row>
    <row r="630">
      <c r="A630" s="31"/>
    </row>
    <row r="631">
      <c r="A631" s="31"/>
    </row>
    <row r="632">
      <c r="A632" s="31"/>
    </row>
    <row r="633">
      <c r="A633" s="31"/>
    </row>
    <row r="634">
      <c r="A634" s="31"/>
    </row>
    <row r="635">
      <c r="A635" s="31"/>
    </row>
    <row r="636">
      <c r="A636" s="31"/>
    </row>
    <row r="637">
      <c r="A637" s="31"/>
    </row>
    <row r="638">
      <c r="A638" s="31"/>
    </row>
    <row r="639">
      <c r="A639" s="31"/>
    </row>
    <row r="640">
      <c r="A640" s="31"/>
    </row>
    <row r="641">
      <c r="A641" s="31"/>
    </row>
    <row r="642">
      <c r="A642" s="31"/>
    </row>
    <row r="643">
      <c r="A643" s="31"/>
    </row>
    <row r="644">
      <c r="A644" s="31"/>
    </row>
    <row r="645">
      <c r="A645" s="31"/>
    </row>
    <row r="646">
      <c r="A646" s="31"/>
    </row>
    <row r="647">
      <c r="A647" s="31"/>
    </row>
    <row r="648">
      <c r="A648" s="31"/>
    </row>
    <row r="649">
      <c r="A649" s="31"/>
    </row>
    <row r="650">
      <c r="A650" s="31"/>
    </row>
    <row r="651">
      <c r="A651" s="31"/>
    </row>
    <row r="652">
      <c r="A652" s="31"/>
    </row>
    <row r="653">
      <c r="A653" s="31"/>
    </row>
    <row r="654">
      <c r="A654" s="31"/>
    </row>
    <row r="655">
      <c r="A655" s="31"/>
    </row>
    <row r="656">
      <c r="A656" s="31"/>
    </row>
    <row r="657">
      <c r="A657" s="31"/>
    </row>
    <row r="658">
      <c r="A658" s="31"/>
    </row>
    <row r="659">
      <c r="A659" s="31"/>
    </row>
    <row r="660">
      <c r="A660" s="31"/>
    </row>
    <row r="661">
      <c r="A661" s="31"/>
    </row>
    <row r="662">
      <c r="A662" s="31"/>
    </row>
    <row r="663">
      <c r="A663" s="31"/>
    </row>
    <row r="664">
      <c r="A664" s="31"/>
    </row>
    <row r="665">
      <c r="A665" s="31"/>
    </row>
    <row r="666">
      <c r="A666" s="31"/>
    </row>
    <row r="667">
      <c r="A667" s="31"/>
    </row>
    <row r="668">
      <c r="A668" s="31"/>
    </row>
    <row r="669">
      <c r="A669" s="31"/>
    </row>
    <row r="670">
      <c r="A670" s="31"/>
    </row>
    <row r="671">
      <c r="A671" s="31"/>
    </row>
    <row r="672">
      <c r="A672" s="31"/>
    </row>
    <row r="673">
      <c r="A673" s="31"/>
    </row>
    <row r="674">
      <c r="A674" s="31"/>
    </row>
    <row r="675">
      <c r="A675" s="31"/>
    </row>
    <row r="676">
      <c r="A676" s="31"/>
    </row>
    <row r="677">
      <c r="A677" s="31"/>
    </row>
    <row r="678">
      <c r="A678" s="31"/>
    </row>
    <row r="679">
      <c r="A679" s="31"/>
    </row>
    <row r="680">
      <c r="A680" s="31"/>
    </row>
    <row r="681">
      <c r="A681" s="31"/>
    </row>
    <row r="682">
      <c r="A682" s="31"/>
    </row>
    <row r="683">
      <c r="A683" s="31"/>
    </row>
    <row r="684">
      <c r="A684" s="31"/>
    </row>
    <row r="685">
      <c r="A685" s="31"/>
    </row>
    <row r="686">
      <c r="A686" s="31"/>
    </row>
    <row r="687">
      <c r="A687" s="31"/>
    </row>
    <row r="688">
      <c r="A688" s="31"/>
    </row>
    <row r="689">
      <c r="A689" s="31"/>
    </row>
    <row r="690">
      <c r="A690" s="31"/>
    </row>
    <row r="691">
      <c r="A691" s="31"/>
    </row>
    <row r="692">
      <c r="A692" s="31"/>
    </row>
    <row r="693">
      <c r="A693" s="31"/>
    </row>
    <row r="694">
      <c r="A694" s="31"/>
    </row>
    <row r="695">
      <c r="A695" s="31"/>
    </row>
    <row r="696">
      <c r="A696" s="31"/>
    </row>
    <row r="697">
      <c r="A697" s="31"/>
    </row>
    <row r="698">
      <c r="A698" s="31"/>
    </row>
    <row r="699">
      <c r="A699" s="31"/>
    </row>
    <row r="700">
      <c r="A700" s="31"/>
    </row>
    <row r="701">
      <c r="A701" s="31"/>
    </row>
    <row r="702">
      <c r="A702" s="31"/>
    </row>
    <row r="703">
      <c r="A703" s="31"/>
    </row>
    <row r="704">
      <c r="A704" s="31"/>
    </row>
    <row r="705">
      <c r="A705" s="31"/>
    </row>
    <row r="706">
      <c r="A706" s="31"/>
    </row>
    <row r="707">
      <c r="A707" s="31"/>
    </row>
    <row r="708">
      <c r="A708" s="31"/>
    </row>
    <row r="709">
      <c r="A709" s="31"/>
    </row>
    <row r="710">
      <c r="A710" s="31"/>
    </row>
    <row r="711">
      <c r="A711" s="31"/>
    </row>
    <row r="712">
      <c r="A712" s="31"/>
    </row>
    <row r="713">
      <c r="A713" s="31"/>
    </row>
    <row r="714">
      <c r="A714" s="31"/>
    </row>
    <row r="715">
      <c r="A715" s="31"/>
    </row>
    <row r="716">
      <c r="A716" s="31"/>
    </row>
    <row r="717">
      <c r="A717" s="31"/>
    </row>
    <row r="718">
      <c r="A718" s="31"/>
    </row>
    <row r="719">
      <c r="A719" s="31"/>
    </row>
    <row r="720">
      <c r="A720" s="31"/>
    </row>
    <row r="721">
      <c r="A721" s="31"/>
    </row>
    <row r="722">
      <c r="A722" s="31"/>
    </row>
    <row r="723">
      <c r="A723" s="31"/>
    </row>
    <row r="724">
      <c r="A724" s="31"/>
    </row>
    <row r="725">
      <c r="A725" s="31"/>
    </row>
    <row r="726">
      <c r="A726" s="31"/>
    </row>
    <row r="727">
      <c r="A727" s="31"/>
    </row>
    <row r="728">
      <c r="A728" s="31"/>
    </row>
    <row r="729">
      <c r="A729" s="31"/>
    </row>
    <row r="730">
      <c r="A730" s="31"/>
    </row>
    <row r="731">
      <c r="A731" s="31"/>
    </row>
    <row r="732">
      <c r="A732" s="31"/>
    </row>
    <row r="733">
      <c r="A733" s="31"/>
    </row>
    <row r="734">
      <c r="A734" s="31"/>
    </row>
    <row r="735">
      <c r="A735" s="31"/>
    </row>
    <row r="736">
      <c r="A736" s="31"/>
    </row>
    <row r="737">
      <c r="A737" s="31"/>
    </row>
    <row r="738">
      <c r="A738" s="31"/>
    </row>
    <row r="739">
      <c r="A739" s="31"/>
    </row>
    <row r="740">
      <c r="A740" s="31"/>
    </row>
    <row r="741">
      <c r="A741" s="31"/>
    </row>
    <row r="742">
      <c r="A742" s="31"/>
    </row>
    <row r="743">
      <c r="A743" s="31"/>
    </row>
    <row r="744">
      <c r="A744" s="31"/>
    </row>
    <row r="745">
      <c r="A745" s="31"/>
    </row>
    <row r="746">
      <c r="A746" s="31"/>
    </row>
    <row r="747">
      <c r="A747" s="31"/>
    </row>
    <row r="748">
      <c r="A748" s="31"/>
    </row>
    <row r="749">
      <c r="A749" s="31"/>
    </row>
    <row r="750">
      <c r="A750" s="31"/>
    </row>
    <row r="751">
      <c r="A751" s="31"/>
    </row>
    <row r="752">
      <c r="A752" s="31"/>
    </row>
    <row r="753">
      <c r="A753" s="31"/>
    </row>
    <row r="754">
      <c r="A754" s="31"/>
    </row>
    <row r="755">
      <c r="A755" s="31"/>
    </row>
    <row r="756">
      <c r="A756" s="31"/>
    </row>
    <row r="757">
      <c r="A757" s="31"/>
    </row>
    <row r="758">
      <c r="A758" s="31"/>
    </row>
    <row r="759">
      <c r="A759" s="31"/>
    </row>
    <row r="760">
      <c r="A760" s="31"/>
    </row>
    <row r="761">
      <c r="A761" s="31"/>
    </row>
    <row r="762">
      <c r="A762" s="31"/>
    </row>
    <row r="763">
      <c r="A763" s="31"/>
    </row>
    <row r="764">
      <c r="A764" s="31"/>
    </row>
    <row r="765">
      <c r="A765" s="31"/>
    </row>
    <row r="766">
      <c r="A766" s="31"/>
    </row>
    <row r="767">
      <c r="A767" s="31"/>
    </row>
    <row r="768">
      <c r="A768" s="31"/>
    </row>
    <row r="769">
      <c r="A769" s="31"/>
    </row>
    <row r="770">
      <c r="A770" s="31"/>
    </row>
    <row r="771">
      <c r="A771" s="31"/>
    </row>
    <row r="772">
      <c r="A772" s="31"/>
    </row>
    <row r="773">
      <c r="A773" s="31"/>
    </row>
    <row r="774">
      <c r="A774" s="31"/>
    </row>
    <row r="775">
      <c r="A775" s="31"/>
    </row>
    <row r="776">
      <c r="A776" s="31"/>
    </row>
    <row r="777">
      <c r="A777" s="31"/>
    </row>
    <row r="778">
      <c r="A778" s="31"/>
    </row>
    <row r="779">
      <c r="A779" s="31"/>
    </row>
    <row r="780">
      <c r="A780" s="31"/>
    </row>
    <row r="781">
      <c r="A781" s="31"/>
    </row>
    <row r="782">
      <c r="A782" s="31"/>
    </row>
    <row r="783">
      <c r="A783" s="31"/>
    </row>
    <row r="784">
      <c r="A784" s="31"/>
    </row>
    <row r="785">
      <c r="A785" s="31"/>
    </row>
    <row r="786">
      <c r="A786" s="31"/>
    </row>
    <row r="787">
      <c r="A787" s="31"/>
    </row>
    <row r="788">
      <c r="A788" s="31"/>
    </row>
    <row r="789">
      <c r="A789" s="31"/>
    </row>
    <row r="790">
      <c r="A790" s="31"/>
    </row>
    <row r="791">
      <c r="A791" s="31"/>
    </row>
    <row r="792">
      <c r="A792" s="31"/>
    </row>
    <row r="793">
      <c r="A793" s="31"/>
    </row>
    <row r="794">
      <c r="A794" s="31"/>
    </row>
    <row r="795">
      <c r="A795" s="31"/>
    </row>
    <row r="796">
      <c r="A796" s="31"/>
    </row>
    <row r="797">
      <c r="A797" s="31"/>
    </row>
    <row r="798">
      <c r="A798" s="31"/>
    </row>
    <row r="799">
      <c r="A799" s="31"/>
    </row>
    <row r="800">
      <c r="A800" s="31"/>
    </row>
    <row r="801">
      <c r="A801" s="31"/>
    </row>
    <row r="802">
      <c r="A802" s="31"/>
    </row>
    <row r="803">
      <c r="A803" s="31"/>
    </row>
    <row r="804">
      <c r="A804" s="31"/>
    </row>
    <row r="805">
      <c r="A805" s="31"/>
    </row>
    <row r="806">
      <c r="A806" s="31"/>
    </row>
    <row r="807">
      <c r="A807" s="31"/>
    </row>
    <row r="808">
      <c r="A808" s="31"/>
    </row>
    <row r="809">
      <c r="A809" s="31"/>
    </row>
    <row r="810">
      <c r="A810" s="31"/>
    </row>
    <row r="811">
      <c r="A811" s="31"/>
    </row>
    <row r="812">
      <c r="A812" s="31"/>
    </row>
    <row r="813">
      <c r="A813" s="31"/>
    </row>
    <row r="814">
      <c r="A814" s="31"/>
    </row>
    <row r="815">
      <c r="A815" s="31"/>
    </row>
    <row r="816">
      <c r="A816" s="31"/>
    </row>
    <row r="817">
      <c r="A817" s="31"/>
    </row>
    <row r="818">
      <c r="A818" s="31"/>
    </row>
    <row r="819">
      <c r="A819" s="31"/>
    </row>
    <row r="820">
      <c r="A820" s="31"/>
    </row>
    <row r="821">
      <c r="A821" s="31"/>
    </row>
    <row r="822">
      <c r="A822" s="31"/>
    </row>
    <row r="823">
      <c r="A823" s="31"/>
    </row>
    <row r="824">
      <c r="A824" s="31"/>
    </row>
    <row r="825">
      <c r="A825" s="31"/>
    </row>
    <row r="826">
      <c r="A826" s="31"/>
    </row>
    <row r="827">
      <c r="A827" s="31"/>
    </row>
    <row r="828">
      <c r="A828" s="31"/>
    </row>
    <row r="829">
      <c r="A829" s="31"/>
    </row>
    <row r="830">
      <c r="A830" s="31"/>
    </row>
    <row r="831">
      <c r="A831" s="31"/>
    </row>
    <row r="832">
      <c r="A832" s="31"/>
    </row>
    <row r="833">
      <c r="A833" s="31"/>
    </row>
    <row r="834">
      <c r="A834" s="31"/>
    </row>
    <row r="835">
      <c r="A835" s="31"/>
    </row>
    <row r="836">
      <c r="A836" s="31"/>
    </row>
    <row r="837">
      <c r="A837" s="31"/>
    </row>
    <row r="838">
      <c r="A838" s="31"/>
    </row>
    <row r="839">
      <c r="A839" s="31"/>
    </row>
    <row r="840">
      <c r="A840" s="31"/>
    </row>
    <row r="841">
      <c r="A841" s="31"/>
    </row>
    <row r="842">
      <c r="A842" s="31"/>
    </row>
    <row r="843">
      <c r="A843" s="31"/>
    </row>
    <row r="844">
      <c r="A844" s="31"/>
    </row>
    <row r="845">
      <c r="A845" s="31"/>
    </row>
    <row r="846">
      <c r="A846" s="31"/>
    </row>
    <row r="847">
      <c r="A847" s="31"/>
    </row>
    <row r="848">
      <c r="A848" s="31"/>
    </row>
    <row r="849">
      <c r="A849" s="31"/>
    </row>
    <row r="850">
      <c r="A850" s="31"/>
    </row>
    <row r="851">
      <c r="A851" s="31"/>
    </row>
    <row r="852">
      <c r="A852" s="31"/>
    </row>
    <row r="853">
      <c r="A853" s="31"/>
    </row>
    <row r="854">
      <c r="A854" s="31"/>
    </row>
    <row r="855">
      <c r="A855" s="31"/>
    </row>
    <row r="856">
      <c r="A856" s="31"/>
    </row>
    <row r="857">
      <c r="A857" s="31"/>
    </row>
    <row r="858">
      <c r="A858" s="31"/>
    </row>
    <row r="859">
      <c r="A859" s="31"/>
    </row>
    <row r="860">
      <c r="A860" s="31"/>
    </row>
    <row r="861">
      <c r="A861" s="31"/>
    </row>
    <row r="862">
      <c r="A862" s="31"/>
    </row>
    <row r="863">
      <c r="A863" s="31"/>
    </row>
    <row r="864">
      <c r="A864" s="31"/>
    </row>
    <row r="865">
      <c r="A865" s="31"/>
    </row>
    <row r="866">
      <c r="A866" s="31"/>
    </row>
    <row r="867">
      <c r="A867" s="31"/>
    </row>
    <row r="868">
      <c r="A868" s="31"/>
    </row>
    <row r="869">
      <c r="A869" s="31"/>
    </row>
    <row r="870">
      <c r="A870" s="31"/>
    </row>
    <row r="871">
      <c r="A871" s="31"/>
    </row>
    <row r="872">
      <c r="A872" s="31"/>
    </row>
    <row r="873">
      <c r="A873" s="31"/>
    </row>
    <row r="874">
      <c r="A874" s="31"/>
    </row>
    <row r="875">
      <c r="A875" s="31"/>
    </row>
    <row r="876">
      <c r="A876" s="31"/>
    </row>
    <row r="877">
      <c r="A877" s="31"/>
    </row>
    <row r="878">
      <c r="A878" s="31"/>
    </row>
    <row r="879">
      <c r="A879" s="31"/>
    </row>
    <row r="880">
      <c r="A880" s="31"/>
    </row>
    <row r="881">
      <c r="A881" s="31"/>
    </row>
    <row r="882">
      <c r="A882" s="31"/>
    </row>
    <row r="883">
      <c r="A883" s="31"/>
    </row>
    <row r="884">
      <c r="A884" s="31"/>
    </row>
    <row r="885">
      <c r="A885" s="31"/>
    </row>
    <row r="886">
      <c r="A886" s="31"/>
    </row>
    <row r="887">
      <c r="A887" s="31"/>
    </row>
    <row r="888">
      <c r="A888" s="31"/>
    </row>
    <row r="889">
      <c r="A889" s="31"/>
    </row>
    <row r="890">
      <c r="A890" s="31"/>
    </row>
    <row r="891">
      <c r="A891" s="31"/>
    </row>
    <row r="892">
      <c r="A892" s="31"/>
    </row>
    <row r="893">
      <c r="A893" s="31"/>
    </row>
    <row r="894">
      <c r="A894" s="31"/>
    </row>
    <row r="895">
      <c r="A895" s="31"/>
    </row>
    <row r="896">
      <c r="A896" s="31"/>
    </row>
    <row r="897">
      <c r="A897" s="31"/>
    </row>
    <row r="898">
      <c r="A898" s="31"/>
    </row>
    <row r="899">
      <c r="A899" s="31"/>
    </row>
    <row r="900">
      <c r="A900" s="31"/>
    </row>
    <row r="901">
      <c r="A901" s="31"/>
    </row>
    <row r="902">
      <c r="A902" s="31"/>
    </row>
    <row r="903">
      <c r="A903" s="31"/>
    </row>
    <row r="904">
      <c r="A904" s="31"/>
    </row>
    <row r="905">
      <c r="A905" s="31"/>
    </row>
    <row r="906">
      <c r="A906" s="31"/>
    </row>
    <row r="907">
      <c r="A907" s="31"/>
    </row>
    <row r="908">
      <c r="A908" s="31"/>
    </row>
    <row r="909">
      <c r="A909" s="31"/>
    </row>
    <row r="910">
      <c r="A910" s="31"/>
    </row>
    <row r="911">
      <c r="A911" s="31"/>
    </row>
    <row r="912">
      <c r="A912" s="31"/>
    </row>
    <row r="913">
      <c r="A913" s="31"/>
    </row>
    <row r="914">
      <c r="A914" s="31"/>
    </row>
    <row r="915">
      <c r="A915" s="31"/>
    </row>
    <row r="916">
      <c r="A916" s="31"/>
    </row>
    <row r="917">
      <c r="A917" s="31"/>
    </row>
    <row r="918">
      <c r="A918" s="31"/>
    </row>
    <row r="919">
      <c r="A919" s="31"/>
    </row>
    <row r="920">
      <c r="A920" s="31"/>
    </row>
    <row r="921">
      <c r="A921" s="31"/>
    </row>
    <row r="922">
      <c r="A922" s="31"/>
    </row>
    <row r="923">
      <c r="A923" s="31"/>
    </row>
    <row r="924">
      <c r="A924" s="31"/>
    </row>
    <row r="925">
      <c r="A925" s="31"/>
    </row>
    <row r="926">
      <c r="A926" s="31"/>
    </row>
    <row r="927">
      <c r="A927" s="31"/>
    </row>
    <row r="928">
      <c r="A928" s="31"/>
    </row>
    <row r="929">
      <c r="A929" s="31"/>
    </row>
    <row r="930">
      <c r="A930" s="31"/>
    </row>
    <row r="931">
      <c r="A931" s="31"/>
    </row>
    <row r="932">
      <c r="A932" s="31"/>
    </row>
    <row r="933">
      <c r="A933" s="31"/>
    </row>
    <row r="934">
      <c r="A934" s="31"/>
    </row>
    <row r="935">
      <c r="A935" s="31"/>
    </row>
    <row r="936">
      <c r="A936" s="31"/>
    </row>
    <row r="937">
      <c r="A937" s="31"/>
    </row>
    <row r="938">
      <c r="A938" s="31"/>
    </row>
    <row r="939">
      <c r="A939" s="31"/>
    </row>
    <row r="940">
      <c r="A940" s="31"/>
    </row>
    <row r="941">
      <c r="A941" s="31"/>
    </row>
    <row r="942">
      <c r="A942" s="31"/>
    </row>
    <row r="943">
      <c r="A943" s="31"/>
    </row>
    <row r="944">
      <c r="A944" s="31"/>
    </row>
    <row r="945">
      <c r="A945" s="31"/>
    </row>
    <row r="946">
      <c r="A946" s="31"/>
    </row>
    <row r="947">
      <c r="A947" s="31"/>
    </row>
    <row r="948">
      <c r="A948" s="31"/>
    </row>
    <row r="949">
      <c r="A949" s="31"/>
    </row>
    <row r="950">
      <c r="A950" s="31"/>
    </row>
    <row r="951">
      <c r="A951" s="31"/>
    </row>
    <row r="952">
      <c r="A952" s="31"/>
    </row>
    <row r="953">
      <c r="A953" s="31"/>
    </row>
    <row r="954">
      <c r="A954" s="31"/>
    </row>
    <row r="955">
      <c r="A955" s="31"/>
    </row>
    <row r="956">
      <c r="A956" s="31"/>
    </row>
    <row r="957">
      <c r="A957" s="31"/>
    </row>
    <row r="958">
      <c r="A958" s="31"/>
    </row>
    <row r="959">
      <c r="A959" s="31"/>
    </row>
    <row r="960">
      <c r="A960" s="31"/>
    </row>
    <row r="961">
      <c r="A961" s="31"/>
    </row>
    <row r="962">
      <c r="A962" s="31"/>
    </row>
    <row r="963">
      <c r="A963" s="31"/>
    </row>
    <row r="964">
      <c r="A964" s="31"/>
    </row>
    <row r="965">
      <c r="A965" s="31"/>
    </row>
    <row r="966">
      <c r="A966" s="31"/>
    </row>
    <row r="967">
      <c r="A967" s="31"/>
    </row>
    <row r="968">
      <c r="A968" s="31"/>
    </row>
    <row r="969">
      <c r="A969" s="31"/>
    </row>
    <row r="970">
      <c r="A970" s="31"/>
    </row>
    <row r="971">
      <c r="A971" s="31"/>
    </row>
    <row r="972">
      <c r="A972" s="31"/>
    </row>
    <row r="973">
      <c r="A973" s="31"/>
    </row>
    <row r="974">
      <c r="A974" s="31"/>
    </row>
    <row r="975">
      <c r="A975" s="31"/>
    </row>
    <row r="976">
      <c r="A976" s="31"/>
    </row>
    <row r="977">
      <c r="A977" s="31"/>
    </row>
    <row r="978">
      <c r="A978" s="31"/>
    </row>
    <row r="979">
      <c r="A979" s="31"/>
    </row>
    <row r="980">
      <c r="A980" s="31"/>
    </row>
    <row r="981">
      <c r="A981" s="31"/>
    </row>
    <row r="982">
      <c r="A982" s="31"/>
    </row>
    <row r="983">
      <c r="A983" s="31"/>
    </row>
    <row r="984">
      <c r="A984" s="31"/>
    </row>
    <row r="985">
      <c r="A985" s="31"/>
    </row>
    <row r="986">
      <c r="A986" s="31"/>
    </row>
    <row r="987">
      <c r="A987" s="31"/>
    </row>
    <row r="988">
      <c r="A988" s="31"/>
    </row>
    <row r="989">
      <c r="A989" s="31"/>
    </row>
    <row r="990">
      <c r="A990" s="31"/>
    </row>
    <row r="991">
      <c r="A991" s="31"/>
    </row>
    <row r="992">
      <c r="A992" s="31"/>
    </row>
    <row r="993">
      <c r="A993" s="31"/>
    </row>
    <row r="994">
      <c r="A994" s="31"/>
    </row>
    <row r="995">
      <c r="A995" s="31"/>
    </row>
    <row r="996">
      <c r="A996" s="31"/>
    </row>
    <row r="997">
      <c r="A997" s="31"/>
    </row>
    <row r="998">
      <c r="A998" s="31"/>
    </row>
    <row r="999">
      <c r="A999" s="31"/>
    </row>
    <row r="1000">
      <c r="A1000" s="31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6" width="14.38"/>
  </cols>
  <sheetData>
    <row r="1">
      <c r="A1" s="32" t="s">
        <v>34</v>
      </c>
    </row>
    <row r="2">
      <c r="A2" s="33"/>
      <c r="B2" s="33"/>
      <c r="C2" s="33"/>
      <c r="D2" s="33"/>
      <c r="E2" s="33"/>
      <c r="F2" s="33"/>
      <c r="G2" s="33"/>
      <c r="H2" s="33"/>
      <c r="I2" s="33"/>
      <c r="J2" s="33"/>
      <c r="K2" s="33"/>
    </row>
    <row r="3">
      <c r="A3" s="33"/>
      <c r="B3" s="34">
        <v>2018.0</v>
      </c>
      <c r="C3" s="34">
        <v>2019.0</v>
      </c>
      <c r="D3" s="34">
        <v>2020.0</v>
      </c>
      <c r="E3" s="33"/>
      <c r="F3" s="33"/>
      <c r="G3" s="33"/>
      <c r="H3" s="33"/>
      <c r="I3" s="33"/>
      <c r="J3" s="33"/>
      <c r="K3" s="33"/>
    </row>
    <row r="4">
      <c r="A4" s="35" t="s">
        <v>35</v>
      </c>
      <c r="B4" s="36">
        <v>0.23423423423424</v>
      </c>
      <c r="C4" s="36">
        <v>-6.84066924066924</v>
      </c>
      <c r="D4" s="36">
        <v>-12.9155727155727</v>
      </c>
      <c r="E4" s="33"/>
      <c r="F4" s="33"/>
      <c r="G4" s="33"/>
      <c r="H4" s="33"/>
      <c r="I4" s="33"/>
      <c r="J4" s="33"/>
      <c r="K4" s="33"/>
    </row>
    <row r="5">
      <c r="A5" s="35" t="s">
        <v>36</v>
      </c>
      <c r="B5" s="36">
        <v>0.64465894465895</v>
      </c>
      <c r="C5" s="36">
        <v>6.56975546975548</v>
      </c>
      <c r="D5" s="36">
        <v>13.494851994852</v>
      </c>
      <c r="E5" s="33"/>
      <c r="F5" s="33"/>
      <c r="G5" s="33"/>
      <c r="H5" s="33"/>
      <c r="I5" s="33"/>
      <c r="J5" s="33"/>
      <c r="K5" s="33"/>
    </row>
    <row r="6">
      <c r="A6" s="35" t="s">
        <v>37</v>
      </c>
      <c r="B6" s="36">
        <v>6.05508365508366</v>
      </c>
      <c r="C6" s="36">
        <v>16.9801801801802</v>
      </c>
      <c r="D6" s="36">
        <v>28.9052767052767</v>
      </c>
      <c r="E6" s="33"/>
      <c r="F6" s="33"/>
      <c r="G6" s="33"/>
      <c r="H6" s="33"/>
      <c r="I6" s="33"/>
      <c r="J6" s="33"/>
      <c r="K6" s="33"/>
    </row>
    <row r="7">
      <c r="A7" s="35" t="s">
        <v>38</v>
      </c>
      <c r="B7" s="36">
        <v>-4.53449163449163</v>
      </c>
      <c r="C7" s="36">
        <v>-25.6093951093951</v>
      </c>
      <c r="D7" s="36">
        <v>-43.6842985842986</v>
      </c>
      <c r="E7" s="33"/>
      <c r="F7" s="33"/>
      <c r="G7" s="33"/>
      <c r="H7" s="33"/>
      <c r="I7" s="33"/>
      <c r="J7" s="33"/>
      <c r="K7" s="33"/>
    </row>
    <row r="8">
      <c r="A8" s="35" t="s">
        <v>39</v>
      </c>
      <c r="B8" s="36">
        <v>-4.12406692406692</v>
      </c>
      <c r="C8" s="36">
        <v>-20.1989703989704</v>
      </c>
      <c r="D8" s="36">
        <v>-31.2738738738739</v>
      </c>
      <c r="E8" s="33"/>
      <c r="F8" s="33"/>
      <c r="G8" s="33"/>
      <c r="H8" s="33"/>
      <c r="I8" s="33"/>
      <c r="J8" s="33"/>
      <c r="K8" s="33"/>
    </row>
    <row r="9">
      <c r="A9" s="35" t="s">
        <v>40</v>
      </c>
      <c r="B9" s="36">
        <v>-3.71364221364221</v>
      </c>
      <c r="C9" s="36">
        <v>-9.7885456885457</v>
      </c>
      <c r="D9" s="36">
        <v>-15.8634491634492</v>
      </c>
      <c r="E9" s="33"/>
      <c r="F9" s="33"/>
      <c r="G9" s="33"/>
      <c r="H9" s="33"/>
      <c r="I9" s="33"/>
      <c r="J9" s="33"/>
      <c r="K9" s="33"/>
    </row>
    <row r="10">
      <c r="A10" s="35" t="s">
        <v>41</v>
      </c>
      <c r="B10" s="36">
        <v>16.6967824967825</v>
      </c>
      <c r="C10" s="36">
        <v>40.621879021879</v>
      </c>
      <c r="D10" s="36">
        <v>63.5469755469755</v>
      </c>
      <c r="E10" s="33"/>
      <c r="F10" s="33"/>
      <c r="G10" s="33"/>
      <c r="H10" s="33"/>
      <c r="I10" s="33"/>
      <c r="J10" s="33"/>
      <c r="K10" s="33"/>
    </row>
    <row r="11">
      <c r="A11" s="35" t="s">
        <v>42</v>
      </c>
      <c r="B11" s="36">
        <v>4.10720720720721</v>
      </c>
      <c r="C11" s="36">
        <v>11.0323037323037</v>
      </c>
      <c r="D11" s="36">
        <v>12.9574002574003</v>
      </c>
      <c r="E11" s="33"/>
      <c r="F11" s="33"/>
      <c r="G11" s="33"/>
      <c r="H11" s="33"/>
      <c r="I11" s="33"/>
      <c r="J11" s="33"/>
      <c r="K11" s="33"/>
    </row>
    <row r="12">
      <c r="A12" s="35" t="s">
        <v>43</v>
      </c>
      <c r="B12" s="36">
        <v>-4.48236808236808</v>
      </c>
      <c r="C12" s="36">
        <v>-12.5572715572716</v>
      </c>
      <c r="D12" s="36">
        <v>-19.632175032175</v>
      </c>
      <c r="E12" s="33"/>
      <c r="F12" s="33"/>
      <c r="G12" s="33"/>
      <c r="H12" s="33"/>
      <c r="I12" s="33"/>
      <c r="J12" s="33"/>
      <c r="K12" s="33"/>
    </row>
    <row r="13">
      <c r="A13" s="35" t="s">
        <v>44</v>
      </c>
      <c r="B13" s="36">
        <v>-4.07194337194337</v>
      </c>
      <c r="C13" s="36">
        <v>-13.1468468468468</v>
      </c>
      <c r="D13" s="36">
        <v>-20.2217503217503</v>
      </c>
      <c r="E13" s="33"/>
      <c r="F13" s="33"/>
      <c r="G13" s="33"/>
      <c r="H13" s="33"/>
      <c r="I13" s="33"/>
      <c r="J13" s="33"/>
      <c r="K13" s="33"/>
    </row>
    <row r="14">
      <c r="A14" s="35" t="s">
        <v>45</v>
      </c>
      <c r="B14" s="36">
        <v>-18.6615186615187</v>
      </c>
      <c r="C14" s="36">
        <v>-34.7364221364221</v>
      </c>
      <c r="D14" s="36">
        <v>-55.8113256113256</v>
      </c>
      <c r="E14" s="33"/>
      <c r="F14" s="33"/>
      <c r="G14" s="33"/>
      <c r="H14" s="33"/>
      <c r="I14" s="33"/>
      <c r="J14" s="33"/>
      <c r="K14" s="33"/>
    </row>
    <row r="15">
      <c r="A15" s="35" t="s">
        <v>46</v>
      </c>
      <c r="B15" s="36">
        <v>23.748906048906</v>
      </c>
      <c r="C15" s="36">
        <v>46.6740025740026</v>
      </c>
      <c r="D15" s="36">
        <v>69.5990990990991</v>
      </c>
      <c r="E15" s="33"/>
      <c r="F15" s="33"/>
      <c r="G15" s="33"/>
      <c r="H15" s="33"/>
      <c r="I15" s="33"/>
      <c r="J15" s="33"/>
      <c r="K15" s="33"/>
    </row>
    <row r="16"/>
    <row r="17"/>
    <row r="18"/>
    <row r="19"/>
    <row r="20"/>
    <row r="21">
      <c r="A21" s="32" t="s">
        <v>47</v>
      </c>
    </row>
    <row r="22">
      <c r="A22" s="33"/>
      <c r="B22" s="34">
        <v>2018.0</v>
      </c>
      <c r="C22" s="34">
        <v>2019.0</v>
      </c>
      <c r="D22" s="34">
        <v>2020.0</v>
      </c>
      <c r="E22" s="33"/>
      <c r="F22" s="33"/>
      <c r="G22" s="33"/>
      <c r="H22" s="33"/>
      <c r="I22" s="33"/>
      <c r="J22" s="33"/>
      <c r="K22" s="33"/>
      <c r="L22" s="33"/>
    </row>
    <row r="23">
      <c r="A23" s="35" t="s">
        <v>35</v>
      </c>
      <c r="B23" s="36">
        <v>-6.43336425884303</v>
      </c>
      <c r="C23" s="36">
        <v>-6.84066924066924</v>
      </c>
      <c r="D23" s="36">
        <v>-5.40267779637345</v>
      </c>
      <c r="E23" s="36">
        <f t="shared" ref="E23:E34" si="1">AVERAGE(B23:D23)</f>
        <v>-6.225570432</v>
      </c>
      <c r="F23" s="33"/>
      <c r="G23" s="33"/>
      <c r="H23" s="33"/>
      <c r="I23" s="33"/>
      <c r="J23" s="33"/>
      <c r="K23" s="33"/>
      <c r="L23" s="33"/>
    </row>
    <row r="24">
      <c r="A24" s="35" t="s">
        <v>36</v>
      </c>
      <c r="B24" s="36">
        <v>8.60514159137471</v>
      </c>
      <c r="C24" s="36">
        <v>6.56975546975548</v>
      </c>
      <c r="D24" s="36">
        <v>10.8736325891617</v>
      </c>
      <c r="E24" s="36">
        <f t="shared" si="1"/>
        <v>8.682843217</v>
      </c>
      <c r="F24" s="33"/>
      <c r="G24" s="33"/>
      <c r="H24" s="33"/>
      <c r="I24" s="33"/>
      <c r="J24" s="33"/>
      <c r="K24" s="33"/>
      <c r="L24" s="33"/>
    </row>
    <row r="25">
      <c r="A25" s="35" t="s">
        <v>37</v>
      </c>
      <c r="B25" s="36">
        <v>20.4485698037621</v>
      </c>
      <c r="C25" s="36">
        <v>16.9801801801802</v>
      </c>
      <c r="D25" s="36">
        <v>26.8226128608574</v>
      </c>
      <c r="E25" s="36">
        <f t="shared" si="1"/>
        <v>21.41712095</v>
      </c>
      <c r="F25" s="33"/>
      <c r="G25" s="33"/>
      <c r="H25" s="33"/>
      <c r="I25" s="33"/>
      <c r="J25" s="33"/>
      <c r="K25" s="33"/>
      <c r="L25" s="33"/>
    </row>
    <row r="26">
      <c r="A26" s="35" t="s">
        <v>38</v>
      </c>
      <c r="B26" s="36">
        <v>-25.3266427274425</v>
      </c>
      <c r="C26" s="36">
        <v>-25.6093951093951</v>
      </c>
      <c r="D26" s="36">
        <v>-25.5336017969866</v>
      </c>
      <c r="E26" s="36">
        <f t="shared" si="1"/>
        <v>-25.48987988</v>
      </c>
      <c r="F26" s="33"/>
      <c r="G26" s="33"/>
      <c r="H26" s="33"/>
      <c r="I26" s="33"/>
      <c r="J26" s="33"/>
      <c r="K26" s="33"/>
      <c r="L26" s="33"/>
    </row>
    <row r="27">
      <c r="A27" s="35" t="s">
        <v>39</v>
      </c>
      <c r="B27" s="36">
        <v>-17.9033425548873</v>
      </c>
      <c r="C27" s="36">
        <v>-20.1989703989704</v>
      </c>
      <c r="D27" s="36">
        <v>-17.6283770568513</v>
      </c>
      <c r="E27" s="36">
        <f t="shared" si="1"/>
        <v>-18.57689667</v>
      </c>
      <c r="F27" s="33"/>
      <c r="G27" s="33"/>
      <c r="H27" s="33"/>
      <c r="I27" s="33"/>
      <c r="J27" s="33"/>
      <c r="K27" s="33"/>
      <c r="L27" s="33"/>
    </row>
    <row r="28">
      <c r="A28" s="35" t="s">
        <v>40</v>
      </c>
      <c r="B28" s="36">
        <v>-6.72844072924369</v>
      </c>
      <c r="C28" s="36">
        <v>-9.7885456885457</v>
      </c>
      <c r="D28" s="36">
        <v>-0.403996313543519</v>
      </c>
      <c r="E28" s="36">
        <f t="shared" si="1"/>
        <v>-5.640327577</v>
      </c>
      <c r="F28" s="33"/>
      <c r="G28" s="33"/>
      <c r="H28" s="33"/>
      <c r="I28" s="33"/>
      <c r="J28" s="33"/>
      <c r="K28" s="33"/>
      <c r="L28" s="33"/>
    </row>
    <row r="29">
      <c r="A29" s="35" t="s">
        <v>41</v>
      </c>
      <c r="B29" s="36">
        <v>44.401505258854</v>
      </c>
      <c r="C29" s="36">
        <v>40.621879021879</v>
      </c>
      <c r="D29" s="36">
        <v>49.2575967206226</v>
      </c>
      <c r="E29" s="36">
        <f t="shared" si="1"/>
        <v>44.760327</v>
      </c>
      <c r="F29" s="33"/>
      <c r="G29" s="33"/>
      <c r="H29" s="33"/>
      <c r="I29" s="33"/>
      <c r="J29" s="33"/>
      <c r="K29" s="33"/>
      <c r="L29" s="33"/>
    </row>
    <row r="30">
      <c r="A30" s="35" t="s">
        <v>42</v>
      </c>
      <c r="B30" s="36">
        <v>15.0203841094127</v>
      </c>
      <c r="C30" s="36">
        <v>11.0323037323037</v>
      </c>
      <c r="D30" s="36">
        <v>13.1851360961955</v>
      </c>
      <c r="E30" s="36">
        <f t="shared" si="1"/>
        <v>13.07927465</v>
      </c>
      <c r="F30" s="33"/>
      <c r="G30" s="33"/>
      <c r="H30" s="33"/>
      <c r="I30" s="33"/>
      <c r="J30" s="33"/>
      <c r="K30" s="33"/>
      <c r="L30" s="33"/>
    </row>
    <row r="31">
      <c r="A31" s="35" t="s">
        <v>43</v>
      </c>
      <c r="B31" s="36">
        <v>-8.84618041297363</v>
      </c>
      <c r="C31" s="36">
        <v>-12.5572715572716</v>
      </c>
      <c r="D31" s="36">
        <v>-7.04621441117167</v>
      </c>
      <c r="E31" s="36">
        <f t="shared" si="1"/>
        <v>-9.483222127</v>
      </c>
      <c r="F31" s="33"/>
      <c r="G31" s="33"/>
      <c r="H31" s="33"/>
      <c r="I31" s="33"/>
      <c r="J31" s="33"/>
      <c r="K31" s="33"/>
      <c r="L31" s="33"/>
    </row>
    <row r="32">
      <c r="A32" s="35" t="s">
        <v>44</v>
      </c>
      <c r="B32" s="36">
        <v>-10.4382402972216</v>
      </c>
      <c r="C32" s="36">
        <v>-13.1468468468468</v>
      </c>
      <c r="D32" s="36">
        <v>-8.56109234656681</v>
      </c>
      <c r="E32" s="36">
        <f t="shared" si="1"/>
        <v>-10.71539316</v>
      </c>
      <c r="F32" s="33"/>
      <c r="G32" s="33"/>
      <c r="H32" s="33"/>
      <c r="I32" s="33"/>
      <c r="J32" s="33"/>
      <c r="K32" s="33"/>
      <c r="L32" s="33"/>
    </row>
    <row r="33">
      <c r="A33" s="35" t="s">
        <v>45</v>
      </c>
      <c r="B33" s="36">
        <v>-34.5499549339487</v>
      </c>
      <c r="C33" s="36">
        <v>-34.7364221364221</v>
      </c>
      <c r="D33" s="36">
        <v>-28.7047563517051</v>
      </c>
      <c r="E33" s="36">
        <f t="shared" si="1"/>
        <v>-32.66371114</v>
      </c>
      <c r="F33" s="33"/>
      <c r="G33" s="33"/>
      <c r="H33" s="33"/>
      <c r="I33" s="33"/>
      <c r="J33" s="33"/>
      <c r="K33" s="33"/>
      <c r="L33" s="33"/>
    </row>
    <row r="34">
      <c r="A34" s="35" t="s">
        <v>46</v>
      </c>
      <c r="B34" s="36">
        <v>48.2967362239027</v>
      </c>
      <c r="C34" s="36">
        <v>46.6740025740026</v>
      </c>
      <c r="D34" s="36">
        <v>51.534989031373</v>
      </c>
      <c r="E34" s="36">
        <f t="shared" si="1"/>
        <v>48.83524261</v>
      </c>
      <c r="F34" s="33"/>
      <c r="G34" s="33"/>
      <c r="H34" s="33"/>
      <c r="I34" s="33"/>
      <c r="J34" s="33"/>
      <c r="K34" s="33"/>
      <c r="L34" s="33"/>
    </row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mergeCells count="2">
    <mergeCell ref="A1:K1"/>
    <mergeCell ref="A21:L21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6" width="8.5"/>
    <col customWidth="1" min="7" max="7" width="7.5"/>
    <col customWidth="1" min="8" max="32" width="14.38"/>
  </cols>
  <sheetData>
    <row r="1">
      <c r="A1" s="37" t="s">
        <v>20</v>
      </c>
      <c r="B1" s="37" t="s">
        <v>48</v>
      </c>
      <c r="C1" s="37" t="s">
        <v>49</v>
      </c>
      <c r="D1" s="37" t="s">
        <v>50</v>
      </c>
      <c r="E1" s="37" t="s">
        <v>51</v>
      </c>
      <c r="F1" s="38" t="s">
        <v>52</v>
      </c>
      <c r="G1" s="39" t="s">
        <v>53</v>
      </c>
      <c r="H1" s="38" t="s">
        <v>54</v>
      </c>
    </row>
    <row r="2">
      <c r="A2" s="40">
        <v>43466.0</v>
      </c>
      <c r="B2" s="41">
        <v>150.0</v>
      </c>
      <c r="D2" s="5">
        <f>AVERAGE(C4:C14)</f>
        <v>265.0909091</v>
      </c>
      <c r="E2" s="5">
        <f t="shared" ref="E2:E16" si="1">B2/$D$2</f>
        <v>0.5658436214</v>
      </c>
      <c r="F2" s="42">
        <f t="shared" ref="F2:F6" si="2">AVERAGE(E2,E7,E12)</f>
        <v>0.5281207133</v>
      </c>
      <c r="G2" s="43">
        <f t="shared" ref="G2:G16" si="3">$D$2*F2</f>
        <v>140</v>
      </c>
      <c r="H2" s="5">
        <f t="shared" ref="H2:H16" si="4">ABS(B2-G2)</f>
        <v>10</v>
      </c>
    </row>
    <row r="3">
      <c r="A3" s="40">
        <v>43497.0</v>
      </c>
      <c r="B3" s="41">
        <v>240.0</v>
      </c>
      <c r="E3" s="5">
        <f t="shared" si="1"/>
        <v>0.9053497942</v>
      </c>
      <c r="F3" s="42">
        <f t="shared" si="2"/>
        <v>0.9430727023</v>
      </c>
      <c r="G3" s="43">
        <f t="shared" si="3"/>
        <v>250</v>
      </c>
      <c r="H3" s="5">
        <f t="shared" si="4"/>
        <v>10</v>
      </c>
    </row>
    <row r="4">
      <c r="A4" s="40">
        <v>43525.0</v>
      </c>
      <c r="B4" s="41">
        <v>390.0</v>
      </c>
      <c r="C4" s="5">
        <f t="shared" ref="C4:C14" si="5">AVERAGE(B2:B6)</f>
        <v>276</v>
      </c>
      <c r="E4" s="5">
        <f t="shared" si="1"/>
        <v>1.471193416</v>
      </c>
      <c r="F4" s="42">
        <f t="shared" si="2"/>
        <v>1.433470508</v>
      </c>
      <c r="G4" s="43">
        <f t="shared" si="3"/>
        <v>380</v>
      </c>
      <c r="H4" s="5">
        <f t="shared" si="4"/>
        <v>10</v>
      </c>
    </row>
    <row r="5">
      <c r="A5" s="40">
        <v>43556.0</v>
      </c>
      <c r="B5" s="41">
        <v>330.0</v>
      </c>
      <c r="C5" s="5">
        <f t="shared" si="5"/>
        <v>270</v>
      </c>
      <c r="E5" s="5">
        <f t="shared" si="1"/>
        <v>1.244855967</v>
      </c>
      <c r="F5" s="42">
        <f t="shared" si="2"/>
        <v>1.169410151</v>
      </c>
      <c r="G5" s="43">
        <f t="shared" si="3"/>
        <v>310</v>
      </c>
      <c r="H5" s="5">
        <f t="shared" si="4"/>
        <v>20</v>
      </c>
    </row>
    <row r="6">
      <c r="A6" s="40">
        <v>43586.0</v>
      </c>
      <c r="B6" s="41">
        <v>270.0</v>
      </c>
      <c r="C6" s="5">
        <f t="shared" si="5"/>
        <v>270</v>
      </c>
      <c r="E6" s="5">
        <f t="shared" si="1"/>
        <v>1.018518519</v>
      </c>
      <c r="F6" s="42">
        <f t="shared" si="2"/>
        <v>0.9053497942</v>
      </c>
      <c r="G6" s="43">
        <f t="shared" si="3"/>
        <v>240</v>
      </c>
      <c r="H6" s="5">
        <f t="shared" si="4"/>
        <v>30</v>
      </c>
    </row>
    <row r="7">
      <c r="A7" s="40">
        <v>43617.0</v>
      </c>
      <c r="B7" s="41">
        <v>120.0</v>
      </c>
      <c r="C7" s="5">
        <f t="shared" si="5"/>
        <v>264</v>
      </c>
      <c r="E7" s="5">
        <f t="shared" si="1"/>
        <v>0.4526748971</v>
      </c>
      <c r="F7" s="5">
        <v>0.5281207133058986</v>
      </c>
      <c r="G7" s="43">
        <f t="shared" si="3"/>
        <v>140</v>
      </c>
      <c r="H7" s="5">
        <f t="shared" si="4"/>
        <v>20</v>
      </c>
    </row>
    <row r="8">
      <c r="A8" s="40">
        <v>43647.0</v>
      </c>
      <c r="B8" s="41">
        <v>240.0</v>
      </c>
      <c r="C8" s="5">
        <f t="shared" si="5"/>
        <v>258</v>
      </c>
      <c r="E8" s="5">
        <f t="shared" si="1"/>
        <v>0.9053497942</v>
      </c>
      <c r="F8" s="5">
        <v>0.9430727023319617</v>
      </c>
      <c r="G8" s="43">
        <f t="shared" si="3"/>
        <v>250</v>
      </c>
      <c r="H8" s="5">
        <f t="shared" si="4"/>
        <v>10</v>
      </c>
    </row>
    <row r="9">
      <c r="A9" s="40">
        <v>43678.0</v>
      </c>
      <c r="B9" s="41">
        <v>360.0</v>
      </c>
      <c r="C9" s="5">
        <f t="shared" si="5"/>
        <v>252</v>
      </c>
      <c r="E9" s="5">
        <f t="shared" si="1"/>
        <v>1.358024691</v>
      </c>
      <c r="F9" s="5">
        <v>1.433470507544582</v>
      </c>
      <c r="G9" s="43">
        <f t="shared" si="3"/>
        <v>380</v>
      </c>
      <c r="H9" s="5">
        <f t="shared" si="4"/>
        <v>20</v>
      </c>
    </row>
    <row r="10">
      <c r="A10" s="40">
        <v>43709.0</v>
      </c>
      <c r="B10" s="41">
        <v>300.0</v>
      </c>
      <c r="C10" s="5">
        <f t="shared" si="5"/>
        <v>258</v>
      </c>
      <c r="E10" s="5">
        <f t="shared" si="1"/>
        <v>1.131687243</v>
      </c>
      <c r="F10" s="5">
        <v>1.1694101508916326</v>
      </c>
      <c r="G10" s="43">
        <f t="shared" si="3"/>
        <v>310</v>
      </c>
      <c r="H10" s="5">
        <f t="shared" si="4"/>
        <v>10</v>
      </c>
    </row>
    <row r="11">
      <c r="A11" s="40">
        <v>43739.0</v>
      </c>
      <c r="B11" s="41">
        <v>240.0</v>
      </c>
      <c r="C11" s="5">
        <f t="shared" si="5"/>
        <v>264</v>
      </c>
      <c r="E11" s="5">
        <f t="shared" si="1"/>
        <v>0.9053497942</v>
      </c>
      <c r="F11" s="5">
        <v>0.9053497942386833</v>
      </c>
      <c r="G11" s="43">
        <f t="shared" si="3"/>
        <v>240</v>
      </c>
      <c r="H11" s="5">
        <f t="shared" si="4"/>
        <v>0</v>
      </c>
    </row>
    <row r="12">
      <c r="A12" s="40">
        <v>43770.0</v>
      </c>
      <c r="B12" s="41">
        <v>150.0</v>
      </c>
      <c r="C12" s="5">
        <f t="shared" si="5"/>
        <v>270</v>
      </c>
      <c r="E12" s="5">
        <f t="shared" si="1"/>
        <v>0.5658436214</v>
      </c>
      <c r="F12" s="5">
        <v>0.5281207133058986</v>
      </c>
      <c r="G12" s="43">
        <f t="shared" si="3"/>
        <v>140</v>
      </c>
      <c r="H12" s="5">
        <f t="shared" si="4"/>
        <v>10</v>
      </c>
    </row>
    <row r="13">
      <c r="A13" s="40">
        <v>43800.0</v>
      </c>
      <c r="B13" s="41">
        <v>270.0</v>
      </c>
      <c r="C13" s="5">
        <f t="shared" si="5"/>
        <v>270</v>
      </c>
      <c r="E13" s="5">
        <f t="shared" si="1"/>
        <v>1.018518519</v>
      </c>
      <c r="F13" s="5">
        <v>0.9430727023319617</v>
      </c>
      <c r="G13" s="43">
        <f t="shared" si="3"/>
        <v>250</v>
      </c>
      <c r="H13" s="5">
        <f t="shared" si="4"/>
        <v>20</v>
      </c>
    </row>
    <row r="14">
      <c r="A14" s="40">
        <v>43831.0</v>
      </c>
      <c r="B14" s="41">
        <v>390.0</v>
      </c>
      <c r="C14" s="5">
        <f t="shared" si="5"/>
        <v>264</v>
      </c>
      <c r="E14" s="5">
        <f t="shared" si="1"/>
        <v>1.471193416</v>
      </c>
      <c r="F14" s="5">
        <v>1.433470507544582</v>
      </c>
      <c r="G14" s="43">
        <f t="shared" si="3"/>
        <v>380</v>
      </c>
      <c r="H14" s="5">
        <f t="shared" si="4"/>
        <v>10</v>
      </c>
    </row>
    <row r="15">
      <c r="A15" s="40">
        <v>43862.0</v>
      </c>
      <c r="B15" s="41">
        <v>300.0</v>
      </c>
      <c r="E15" s="5">
        <f t="shared" si="1"/>
        <v>1.131687243</v>
      </c>
      <c r="F15" s="5">
        <v>1.1694101508916326</v>
      </c>
      <c r="G15" s="43">
        <f t="shared" si="3"/>
        <v>310</v>
      </c>
      <c r="H15" s="5">
        <f t="shared" si="4"/>
        <v>10</v>
      </c>
    </row>
    <row r="16">
      <c r="A16" s="44">
        <v>43891.0</v>
      </c>
      <c r="B16" s="45">
        <v>210.0</v>
      </c>
      <c r="E16" s="5">
        <f t="shared" si="1"/>
        <v>0.79218107</v>
      </c>
      <c r="F16" s="5">
        <v>0.9053497942386833</v>
      </c>
      <c r="G16" s="43">
        <f t="shared" si="3"/>
        <v>240</v>
      </c>
      <c r="H16" s="5">
        <f t="shared" si="4"/>
        <v>30</v>
      </c>
    </row>
    <row r="17">
      <c r="A17" s="31"/>
      <c r="G17" s="43">
        <v>140.00000000000003</v>
      </c>
      <c r="H17" s="46">
        <f>AVERAGE(H2:H16)</f>
        <v>14.66666667</v>
      </c>
    </row>
    <row r="18">
      <c r="A18" s="31"/>
      <c r="G18" s="43">
        <v>250.0</v>
      </c>
      <c r="H18" s="47" t="s">
        <v>55</v>
      </c>
    </row>
    <row r="19">
      <c r="A19" s="31"/>
      <c r="G19" s="43">
        <v>380.00000000000006</v>
      </c>
    </row>
    <row r="20">
      <c r="A20" s="31"/>
      <c r="G20" s="43">
        <v>310.0</v>
      </c>
    </row>
    <row r="21">
      <c r="A21" s="31"/>
      <c r="G21" s="43">
        <v>240.00000000000003</v>
      </c>
    </row>
    <row r="22">
      <c r="A22" s="31"/>
      <c r="G22" s="43">
        <v>140.00000000000003</v>
      </c>
    </row>
    <row r="23">
      <c r="A23" s="31"/>
      <c r="G23" s="43">
        <v>250.0</v>
      </c>
    </row>
    <row r="24">
      <c r="A24" s="31"/>
      <c r="G24" s="43">
        <v>380.00000000000006</v>
      </c>
    </row>
    <row r="25">
      <c r="A25" s="31"/>
      <c r="G25" s="43">
        <v>310.0</v>
      </c>
    </row>
    <row r="26">
      <c r="A26" s="31"/>
      <c r="G26" s="43">
        <v>240.00000000000003</v>
      </c>
    </row>
    <row r="27">
      <c r="A27" s="31"/>
      <c r="G27" s="43">
        <v>140.00000000000003</v>
      </c>
    </row>
    <row r="28">
      <c r="A28" s="31"/>
      <c r="G28" s="43">
        <v>250.0</v>
      </c>
    </row>
    <row r="29">
      <c r="A29" s="31"/>
      <c r="G29" s="43">
        <v>380.00000000000006</v>
      </c>
    </row>
    <row r="30">
      <c r="A30" s="31"/>
      <c r="G30" s="43">
        <v>310.0</v>
      </c>
    </row>
    <row r="31">
      <c r="A31" s="31"/>
      <c r="G31" s="43">
        <v>240.00000000000003</v>
      </c>
    </row>
    <row r="32">
      <c r="A32" s="31"/>
      <c r="G32" s="43"/>
    </row>
    <row r="33">
      <c r="A33" s="31"/>
      <c r="G33" s="43"/>
    </row>
    <row r="34">
      <c r="A34" s="31"/>
      <c r="G34" s="43"/>
    </row>
    <row r="35">
      <c r="A35" s="31"/>
      <c r="G35" s="43"/>
    </row>
    <row r="36">
      <c r="A36" s="31"/>
      <c r="G36" s="43"/>
    </row>
    <row r="37">
      <c r="A37" s="31"/>
      <c r="G37" s="43"/>
    </row>
    <row r="38">
      <c r="A38" s="31"/>
      <c r="G38" s="43"/>
    </row>
    <row r="39">
      <c r="A39" s="31"/>
      <c r="G39" s="43"/>
    </row>
    <row r="40">
      <c r="A40" s="31"/>
      <c r="G40" s="43"/>
    </row>
    <row r="41">
      <c r="A41" s="31"/>
      <c r="G41" s="43"/>
    </row>
    <row r="42">
      <c r="A42" s="31"/>
      <c r="G42" s="43"/>
    </row>
    <row r="43">
      <c r="A43" s="31"/>
      <c r="G43" s="43"/>
    </row>
    <row r="44">
      <c r="A44" s="31"/>
      <c r="G44" s="43"/>
    </row>
    <row r="45">
      <c r="A45" s="31"/>
      <c r="G45" s="43"/>
    </row>
    <row r="46">
      <c r="A46" s="31"/>
      <c r="G46" s="43"/>
    </row>
    <row r="47">
      <c r="A47" s="31"/>
      <c r="G47" s="43"/>
    </row>
    <row r="48">
      <c r="A48" s="31"/>
      <c r="G48" s="43"/>
    </row>
    <row r="49">
      <c r="A49" s="31"/>
      <c r="G49" s="43"/>
    </row>
    <row r="50">
      <c r="A50" s="31"/>
      <c r="G50" s="43"/>
    </row>
    <row r="51">
      <c r="A51" s="31"/>
      <c r="G51" s="43"/>
    </row>
    <row r="52">
      <c r="A52" s="31"/>
      <c r="G52" s="43"/>
    </row>
    <row r="53">
      <c r="A53" s="31"/>
      <c r="G53" s="43"/>
    </row>
    <row r="54">
      <c r="A54" s="31"/>
      <c r="G54" s="43"/>
    </row>
    <row r="55">
      <c r="A55" s="31"/>
      <c r="G55" s="43"/>
    </row>
    <row r="56">
      <c r="A56" s="31"/>
      <c r="G56" s="43"/>
    </row>
    <row r="57">
      <c r="A57" s="31"/>
      <c r="G57" s="43"/>
    </row>
    <row r="58">
      <c r="A58" s="31"/>
      <c r="G58" s="43"/>
    </row>
    <row r="59">
      <c r="A59" s="31"/>
      <c r="G59" s="43"/>
    </row>
    <row r="60">
      <c r="A60" s="31"/>
      <c r="G60" s="43"/>
    </row>
    <row r="61">
      <c r="A61" s="31"/>
      <c r="G61" s="43"/>
    </row>
    <row r="62">
      <c r="A62" s="31"/>
      <c r="G62" s="43"/>
    </row>
    <row r="63">
      <c r="A63" s="31"/>
      <c r="G63" s="43"/>
    </row>
    <row r="64">
      <c r="A64" s="31"/>
      <c r="G64" s="43"/>
    </row>
    <row r="65">
      <c r="A65" s="31"/>
      <c r="G65" s="43"/>
    </row>
    <row r="66">
      <c r="A66" s="31"/>
      <c r="G66" s="43"/>
    </row>
    <row r="67">
      <c r="A67" s="31"/>
      <c r="G67" s="43"/>
    </row>
    <row r="68">
      <c r="A68" s="31"/>
      <c r="G68" s="43"/>
    </row>
    <row r="69">
      <c r="A69" s="31"/>
      <c r="G69" s="43"/>
    </row>
    <row r="70">
      <c r="A70" s="31"/>
      <c r="G70" s="43"/>
    </row>
    <row r="71">
      <c r="A71" s="31"/>
      <c r="G71" s="43"/>
    </row>
    <row r="72">
      <c r="A72" s="31"/>
      <c r="G72" s="43"/>
    </row>
    <row r="73">
      <c r="A73" s="31"/>
      <c r="G73" s="43"/>
    </row>
    <row r="74">
      <c r="A74" s="31"/>
      <c r="G74" s="43"/>
    </row>
    <row r="75">
      <c r="A75" s="31"/>
      <c r="G75" s="43"/>
    </row>
    <row r="76">
      <c r="A76" s="31"/>
      <c r="G76" s="43"/>
    </row>
    <row r="77">
      <c r="A77" s="31"/>
      <c r="G77" s="43"/>
    </row>
    <row r="78">
      <c r="A78" s="31"/>
      <c r="G78" s="43"/>
    </row>
    <row r="79">
      <c r="A79" s="31"/>
      <c r="G79" s="43"/>
    </row>
    <row r="80">
      <c r="A80" s="31"/>
      <c r="G80" s="43"/>
    </row>
    <row r="81">
      <c r="A81" s="31"/>
      <c r="G81" s="43"/>
    </row>
    <row r="82">
      <c r="A82" s="31"/>
      <c r="G82" s="43"/>
    </row>
    <row r="83">
      <c r="A83" s="31"/>
      <c r="G83" s="43"/>
    </row>
    <row r="84">
      <c r="A84" s="31"/>
      <c r="G84" s="43"/>
    </row>
    <row r="85">
      <c r="A85" s="31"/>
      <c r="G85" s="43"/>
    </row>
    <row r="86">
      <c r="A86" s="31"/>
      <c r="G86" s="43"/>
    </row>
    <row r="87">
      <c r="A87" s="31"/>
      <c r="G87" s="43"/>
    </row>
    <row r="88">
      <c r="A88" s="31"/>
      <c r="G88" s="43"/>
    </row>
    <row r="89">
      <c r="A89" s="31"/>
      <c r="G89" s="43"/>
    </row>
    <row r="90">
      <c r="A90" s="31"/>
      <c r="G90" s="43"/>
    </row>
    <row r="91">
      <c r="A91" s="31"/>
      <c r="G91" s="43"/>
    </row>
    <row r="92">
      <c r="A92" s="31"/>
      <c r="G92" s="43"/>
    </row>
    <row r="93">
      <c r="A93" s="31"/>
      <c r="G93" s="43"/>
    </row>
    <row r="94">
      <c r="A94" s="31"/>
      <c r="G94" s="43"/>
    </row>
    <row r="95">
      <c r="A95" s="31"/>
      <c r="G95" s="43"/>
    </row>
    <row r="96">
      <c r="A96" s="31"/>
      <c r="G96" s="43"/>
    </row>
    <row r="97">
      <c r="A97" s="31"/>
      <c r="G97" s="43"/>
    </row>
    <row r="98">
      <c r="A98" s="31"/>
      <c r="G98" s="43"/>
    </row>
    <row r="99">
      <c r="A99" s="31"/>
      <c r="G99" s="43"/>
    </row>
    <row r="100">
      <c r="A100" s="31"/>
      <c r="G100" s="43"/>
    </row>
    <row r="101">
      <c r="A101" s="31"/>
      <c r="G101" s="43"/>
    </row>
    <row r="102">
      <c r="A102" s="31"/>
      <c r="G102" s="43"/>
    </row>
    <row r="103">
      <c r="A103" s="31"/>
      <c r="G103" s="43"/>
    </row>
    <row r="104">
      <c r="A104" s="31"/>
      <c r="G104" s="43"/>
    </row>
    <row r="105">
      <c r="A105" s="31"/>
      <c r="G105" s="43"/>
    </row>
    <row r="106">
      <c r="A106" s="31"/>
      <c r="G106" s="43"/>
    </row>
    <row r="107">
      <c r="A107" s="31"/>
      <c r="G107" s="43"/>
    </row>
    <row r="108">
      <c r="A108" s="31"/>
      <c r="G108" s="43"/>
    </row>
    <row r="109">
      <c r="A109" s="31"/>
      <c r="G109" s="43"/>
    </row>
    <row r="110">
      <c r="A110" s="31"/>
      <c r="G110" s="43"/>
    </row>
    <row r="111">
      <c r="A111" s="31"/>
      <c r="G111" s="43"/>
    </row>
    <row r="112">
      <c r="A112" s="31"/>
      <c r="G112" s="43"/>
    </row>
    <row r="113">
      <c r="A113" s="31"/>
      <c r="G113" s="43"/>
    </row>
    <row r="114">
      <c r="A114" s="31"/>
      <c r="G114" s="43"/>
    </row>
    <row r="115">
      <c r="A115" s="31"/>
      <c r="G115" s="43"/>
    </row>
    <row r="116">
      <c r="A116" s="31"/>
      <c r="G116" s="43"/>
    </row>
    <row r="117">
      <c r="A117" s="31"/>
      <c r="G117" s="43"/>
    </row>
    <row r="118">
      <c r="A118" s="31"/>
      <c r="G118" s="43"/>
    </row>
    <row r="119">
      <c r="A119" s="31"/>
      <c r="G119" s="43"/>
    </row>
    <row r="120">
      <c r="A120" s="31"/>
      <c r="G120" s="43"/>
    </row>
    <row r="121">
      <c r="A121" s="31"/>
      <c r="G121" s="43"/>
    </row>
    <row r="122">
      <c r="A122" s="31"/>
      <c r="G122" s="43"/>
    </row>
    <row r="123">
      <c r="A123" s="31"/>
      <c r="G123" s="43"/>
    </row>
    <row r="124">
      <c r="A124" s="31"/>
      <c r="G124" s="43"/>
    </row>
    <row r="125">
      <c r="A125" s="31"/>
      <c r="G125" s="43"/>
    </row>
    <row r="126">
      <c r="A126" s="31"/>
      <c r="G126" s="43"/>
    </row>
    <row r="127">
      <c r="A127" s="31"/>
      <c r="G127" s="43"/>
    </row>
    <row r="128">
      <c r="A128" s="31"/>
      <c r="G128" s="43"/>
    </row>
    <row r="129">
      <c r="A129" s="31"/>
      <c r="G129" s="43"/>
    </row>
    <row r="130">
      <c r="A130" s="31"/>
      <c r="G130" s="43"/>
    </row>
    <row r="131">
      <c r="A131" s="31"/>
      <c r="G131" s="43"/>
    </row>
    <row r="132">
      <c r="A132" s="31"/>
      <c r="G132" s="43"/>
    </row>
    <row r="133">
      <c r="A133" s="31"/>
      <c r="G133" s="43"/>
    </row>
    <row r="134">
      <c r="A134" s="31"/>
      <c r="G134" s="43"/>
    </row>
    <row r="135">
      <c r="A135" s="31"/>
      <c r="G135" s="43"/>
    </row>
    <row r="136">
      <c r="A136" s="31"/>
      <c r="G136" s="43"/>
    </row>
    <row r="137">
      <c r="A137" s="31"/>
      <c r="G137" s="43"/>
    </row>
    <row r="138">
      <c r="A138" s="31"/>
      <c r="G138" s="43"/>
    </row>
    <row r="139">
      <c r="A139" s="31"/>
      <c r="G139" s="43"/>
    </row>
    <row r="140">
      <c r="A140" s="31"/>
      <c r="G140" s="43"/>
    </row>
    <row r="141">
      <c r="A141" s="31"/>
      <c r="G141" s="43"/>
    </row>
    <row r="142">
      <c r="A142" s="31"/>
      <c r="G142" s="43"/>
    </row>
    <row r="143">
      <c r="A143" s="31"/>
      <c r="G143" s="43"/>
    </row>
    <row r="144">
      <c r="A144" s="31"/>
      <c r="G144" s="43"/>
    </row>
    <row r="145">
      <c r="A145" s="31"/>
      <c r="G145" s="43"/>
    </row>
    <row r="146">
      <c r="A146" s="31"/>
      <c r="G146" s="43"/>
    </row>
    <row r="147">
      <c r="A147" s="31"/>
      <c r="G147" s="43"/>
    </row>
    <row r="148">
      <c r="A148" s="31"/>
      <c r="G148" s="43"/>
    </row>
    <row r="149">
      <c r="A149" s="31"/>
      <c r="G149" s="43"/>
    </row>
    <row r="150">
      <c r="A150" s="31"/>
      <c r="G150" s="43"/>
    </row>
    <row r="151">
      <c r="A151" s="31"/>
      <c r="G151" s="43"/>
    </row>
    <row r="152">
      <c r="A152" s="31"/>
      <c r="G152" s="43"/>
    </row>
    <row r="153">
      <c r="A153" s="31"/>
      <c r="G153" s="43"/>
    </row>
    <row r="154">
      <c r="A154" s="31"/>
      <c r="G154" s="43"/>
    </row>
    <row r="155">
      <c r="A155" s="31"/>
      <c r="G155" s="43"/>
    </row>
    <row r="156">
      <c r="A156" s="31"/>
      <c r="G156" s="43"/>
    </row>
    <row r="157">
      <c r="A157" s="31"/>
      <c r="G157" s="43"/>
    </row>
    <row r="158">
      <c r="A158" s="31"/>
      <c r="G158" s="43"/>
    </row>
    <row r="159">
      <c r="A159" s="31"/>
      <c r="G159" s="43"/>
    </row>
    <row r="160">
      <c r="A160" s="31"/>
      <c r="G160" s="43"/>
    </row>
    <row r="161">
      <c r="A161" s="31"/>
      <c r="G161" s="43"/>
    </row>
    <row r="162">
      <c r="A162" s="31"/>
      <c r="G162" s="43"/>
    </row>
    <row r="163">
      <c r="A163" s="31"/>
      <c r="G163" s="43"/>
    </row>
    <row r="164">
      <c r="A164" s="31"/>
      <c r="G164" s="43"/>
    </row>
    <row r="165">
      <c r="A165" s="31"/>
      <c r="G165" s="43"/>
    </row>
    <row r="166">
      <c r="A166" s="31"/>
      <c r="G166" s="43"/>
    </row>
    <row r="167">
      <c r="A167" s="31"/>
      <c r="G167" s="43"/>
    </row>
    <row r="168">
      <c r="A168" s="31"/>
      <c r="G168" s="43"/>
    </row>
    <row r="169">
      <c r="A169" s="31"/>
      <c r="G169" s="43"/>
    </row>
    <row r="170">
      <c r="A170" s="31"/>
      <c r="G170" s="43"/>
    </row>
    <row r="171">
      <c r="A171" s="31"/>
      <c r="G171" s="43"/>
    </row>
    <row r="172">
      <c r="A172" s="31"/>
      <c r="G172" s="43"/>
    </row>
    <row r="173">
      <c r="A173" s="31"/>
      <c r="G173" s="43"/>
    </row>
    <row r="174">
      <c r="A174" s="31"/>
      <c r="G174" s="43"/>
    </row>
    <row r="175">
      <c r="A175" s="31"/>
      <c r="G175" s="43"/>
    </row>
    <row r="176">
      <c r="A176" s="31"/>
      <c r="G176" s="43"/>
    </row>
    <row r="177">
      <c r="A177" s="31"/>
      <c r="G177" s="43"/>
    </row>
    <row r="178">
      <c r="A178" s="31"/>
      <c r="G178" s="43"/>
    </row>
    <row r="179">
      <c r="A179" s="31"/>
      <c r="G179" s="43"/>
    </row>
    <row r="180">
      <c r="A180" s="31"/>
      <c r="G180" s="43"/>
    </row>
    <row r="181">
      <c r="A181" s="31"/>
      <c r="G181" s="43"/>
    </row>
    <row r="182">
      <c r="A182" s="31"/>
      <c r="G182" s="43"/>
    </row>
    <row r="183">
      <c r="A183" s="31"/>
      <c r="G183" s="43"/>
    </row>
    <row r="184">
      <c r="A184" s="31"/>
      <c r="G184" s="43"/>
    </row>
    <row r="185">
      <c r="A185" s="31"/>
      <c r="G185" s="43"/>
    </row>
    <row r="186">
      <c r="A186" s="31"/>
      <c r="G186" s="43"/>
    </row>
    <row r="187">
      <c r="A187" s="31"/>
      <c r="G187" s="43"/>
    </row>
    <row r="188">
      <c r="A188" s="31"/>
      <c r="G188" s="43"/>
    </row>
    <row r="189">
      <c r="A189" s="31"/>
      <c r="G189" s="43"/>
    </row>
    <row r="190">
      <c r="A190" s="31"/>
      <c r="G190" s="43"/>
    </row>
    <row r="191">
      <c r="A191" s="31"/>
      <c r="G191" s="43"/>
    </row>
    <row r="192">
      <c r="A192" s="31"/>
      <c r="G192" s="43"/>
    </row>
    <row r="193">
      <c r="A193" s="31"/>
      <c r="G193" s="43"/>
    </row>
    <row r="194">
      <c r="A194" s="31"/>
      <c r="G194" s="43"/>
    </row>
    <row r="195">
      <c r="A195" s="31"/>
      <c r="G195" s="43"/>
    </row>
    <row r="196">
      <c r="A196" s="31"/>
      <c r="G196" s="43"/>
    </row>
    <row r="197">
      <c r="A197" s="31"/>
      <c r="G197" s="43"/>
    </row>
    <row r="198">
      <c r="A198" s="31"/>
      <c r="G198" s="43"/>
    </row>
    <row r="199">
      <c r="A199" s="31"/>
      <c r="G199" s="43"/>
    </row>
    <row r="200">
      <c r="A200" s="31"/>
      <c r="G200" s="43"/>
    </row>
    <row r="201">
      <c r="A201" s="31"/>
      <c r="G201" s="43"/>
    </row>
    <row r="202">
      <c r="A202" s="31"/>
      <c r="G202" s="43"/>
    </row>
    <row r="203">
      <c r="A203" s="31"/>
      <c r="G203" s="43"/>
    </row>
    <row r="204">
      <c r="A204" s="31"/>
      <c r="G204" s="43"/>
    </row>
    <row r="205">
      <c r="A205" s="31"/>
      <c r="G205" s="43"/>
    </row>
    <row r="206">
      <c r="A206" s="31"/>
      <c r="G206" s="43"/>
    </row>
    <row r="207">
      <c r="A207" s="31"/>
      <c r="G207" s="43"/>
    </row>
    <row r="208">
      <c r="A208" s="31"/>
      <c r="G208" s="43"/>
    </row>
    <row r="209">
      <c r="A209" s="31"/>
      <c r="G209" s="43"/>
    </row>
    <row r="210">
      <c r="A210" s="31"/>
      <c r="G210" s="43"/>
    </row>
    <row r="211">
      <c r="A211" s="31"/>
      <c r="G211" s="43"/>
    </row>
    <row r="212">
      <c r="A212" s="31"/>
      <c r="G212" s="43"/>
    </row>
    <row r="213">
      <c r="A213" s="31"/>
      <c r="G213" s="43"/>
    </row>
    <row r="214">
      <c r="A214" s="31"/>
      <c r="G214" s="43"/>
    </row>
    <row r="215">
      <c r="A215" s="31"/>
      <c r="G215" s="43"/>
    </row>
    <row r="216">
      <c r="A216" s="31"/>
      <c r="G216" s="43"/>
    </row>
    <row r="217">
      <c r="A217" s="31"/>
      <c r="G217" s="43"/>
    </row>
    <row r="218">
      <c r="A218" s="31"/>
      <c r="G218" s="43"/>
    </row>
    <row r="219">
      <c r="A219" s="31"/>
      <c r="G219" s="43"/>
    </row>
    <row r="220">
      <c r="A220" s="31"/>
      <c r="G220" s="43"/>
    </row>
    <row r="221">
      <c r="A221" s="31"/>
      <c r="G221" s="43"/>
    </row>
    <row r="222">
      <c r="A222" s="31"/>
      <c r="G222" s="43"/>
    </row>
    <row r="223">
      <c r="A223" s="31"/>
      <c r="G223" s="43"/>
    </row>
    <row r="224">
      <c r="A224" s="31"/>
      <c r="G224" s="43"/>
    </row>
    <row r="225">
      <c r="A225" s="31"/>
      <c r="G225" s="43"/>
    </row>
    <row r="226">
      <c r="A226" s="31"/>
      <c r="G226" s="43"/>
    </row>
    <row r="227">
      <c r="A227" s="31"/>
      <c r="G227" s="43"/>
    </row>
    <row r="228">
      <c r="A228" s="31"/>
      <c r="G228" s="43"/>
    </row>
    <row r="229">
      <c r="A229" s="31"/>
      <c r="G229" s="43"/>
    </row>
    <row r="230">
      <c r="A230" s="31"/>
      <c r="G230" s="43"/>
    </row>
    <row r="231">
      <c r="A231" s="31"/>
      <c r="G231" s="43"/>
    </row>
    <row r="232">
      <c r="A232" s="31"/>
      <c r="G232" s="43"/>
    </row>
    <row r="233">
      <c r="A233" s="31"/>
      <c r="G233" s="43"/>
    </row>
    <row r="234">
      <c r="A234" s="31"/>
      <c r="G234" s="43"/>
    </row>
    <row r="235">
      <c r="A235" s="31"/>
      <c r="G235" s="43"/>
    </row>
    <row r="236">
      <c r="A236" s="31"/>
      <c r="G236" s="43"/>
    </row>
    <row r="237">
      <c r="A237" s="31"/>
      <c r="G237" s="43"/>
    </row>
    <row r="238">
      <c r="A238" s="31"/>
      <c r="G238" s="43"/>
    </row>
    <row r="239">
      <c r="A239" s="31"/>
      <c r="G239" s="43"/>
    </row>
    <row r="240">
      <c r="A240" s="31"/>
      <c r="G240" s="43"/>
    </row>
    <row r="241">
      <c r="A241" s="31"/>
      <c r="G241" s="43"/>
    </row>
    <row r="242">
      <c r="A242" s="31"/>
      <c r="G242" s="43"/>
    </row>
    <row r="243">
      <c r="A243" s="31"/>
      <c r="G243" s="43"/>
    </row>
    <row r="244">
      <c r="A244" s="31"/>
      <c r="G244" s="43"/>
    </row>
    <row r="245">
      <c r="A245" s="31"/>
      <c r="G245" s="43"/>
    </row>
    <row r="246">
      <c r="A246" s="31"/>
      <c r="G246" s="43"/>
    </row>
    <row r="247">
      <c r="A247" s="31"/>
      <c r="G247" s="43"/>
    </row>
    <row r="248">
      <c r="A248" s="31"/>
      <c r="G248" s="43"/>
    </row>
    <row r="249">
      <c r="A249" s="31"/>
      <c r="G249" s="43"/>
    </row>
    <row r="250">
      <c r="A250" s="31"/>
      <c r="G250" s="43"/>
    </row>
    <row r="251">
      <c r="A251" s="31"/>
      <c r="G251" s="43"/>
    </row>
    <row r="252">
      <c r="A252" s="31"/>
      <c r="G252" s="43"/>
    </row>
    <row r="253">
      <c r="A253" s="31"/>
      <c r="G253" s="43"/>
    </row>
    <row r="254">
      <c r="A254" s="31"/>
      <c r="G254" s="43"/>
    </row>
    <row r="255">
      <c r="A255" s="31"/>
      <c r="G255" s="43"/>
    </row>
    <row r="256">
      <c r="A256" s="31"/>
      <c r="G256" s="43"/>
    </row>
    <row r="257">
      <c r="A257" s="31"/>
      <c r="G257" s="43"/>
    </row>
    <row r="258">
      <c r="A258" s="31"/>
      <c r="G258" s="43"/>
    </row>
    <row r="259">
      <c r="A259" s="31"/>
      <c r="G259" s="43"/>
    </row>
    <row r="260">
      <c r="A260" s="31"/>
      <c r="G260" s="43"/>
    </row>
    <row r="261">
      <c r="A261" s="31"/>
      <c r="G261" s="43"/>
    </row>
    <row r="262">
      <c r="A262" s="31"/>
      <c r="G262" s="43"/>
    </row>
    <row r="263">
      <c r="A263" s="31"/>
      <c r="G263" s="43"/>
    </row>
    <row r="264">
      <c r="A264" s="31"/>
      <c r="G264" s="43"/>
    </row>
    <row r="265">
      <c r="A265" s="31"/>
      <c r="G265" s="43"/>
    </row>
    <row r="266">
      <c r="A266" s="31"/>
      <c r="G266" s="43"/>
    </row>
    <row r="267">
      <c r="A267" s="31"/>
      <c r="G267" s="43"/>
    </row>
    <row r="268">
      <c r="A268" s="31"/>
      <c r="G268" s="43"/>
    </row>
    <row r="269">
      <c r="A269" s="31"/>
      <c r="G269" s="43"/>
    </row>
    <row r="270">
      <c r="A270" s="31"/>
      <c r="G270" s="43"/>
    </row>
    <row r="271">
      <c r="A271" s="31"/>
      <c r="G271" s="43"/>
    </row>
    <row r="272">
      <c r="A272" s="31"/>
      <c r="G272" s="43"/>
    </row>
    <row r="273">
      <c r="A273" s="31"/>
      <c r="G273" s="43"/>
    </row>
    <row r="274">
      <c r="A274" s="31"/>
      <c r="G274" s="43"/>
    </row>
    <row r="275">
      <c r="A275" s="31"/>
      <c r="G275" s="43"/>
    </row>
    <row r="276">
      <c r="A276" s="31"/>
      <c r="G276" s="43"/>
    </row>
    <row r="277">
      <c r="A277" s="31"/>
      <c r="G277" s="43"/>
    </row>
    <row r="278">
      <c r="A278" s="31"/>
      <c r="G278" s="43"/>
    </row>
    <row r="279">
      <c r="A279" s="31"/>
      <c r="G279" s="43"/>
    </row>
    <row r="280">
      <c r="A280" s="31"/>
      <c r="G280" s="43"/>
    </row>
    <row r="281">
      <c r="A281" s="31"/>
      <c r="G281" s="43"/>
    </row>
    <row r="282">
      <c r="A282" s="31"/>
      <c r="G282" s="43"/>
    </row>
    <row r="283">
      <c r="A283" s="31"/>
      <c r="G283" s="43"/>
    </row>
    <row r="284">
      <c r="A284" s="31"/>
      <c r="G284" s="43"/>
    </row>
    <row r="285">
      <c r="A285" s="31"/>
      <c r="G285" s="43"/>
    </row>
    <row r="286">
      <c r="A286" s="31"/>
      <c r="G286" s="43"/>
    </row>
    <row r="287">
      <c r="A287" s="31"/>
      <c r="G287" s="43"/>
    </row>
    <row r="288">
      <c r="A288" s="31"/>
      <c r="G288" s="43"/>
    </row>
    <row r="289">
      <c r="A289" s="31"/>
      <c r="G289" s="43"/>
    </row>
    <row r="290">
      <c r="A290" s="31"/>
      <c r="G290" s="43"/>
    </row>
    <row r="291">
      <c r="A291" s="31"/>
      <c r="G291" s="43"/>
    </row>
    <row r="292">
      <c r="A292" s="31"/>
      <c r="G292" s="43"/>
    </row>
    <row r="293">
      <c r="A293" s="31"/>
      <c r="G293" s="43"/>
    </row>
    <row r="294">
      <c r="A294" s="31"/>
      <c r="G294" s="43"/>
    </row>
    <row r="295">
      <c r="A295" s="31"/>
      <c r="G295" s="43"/>
    </row>
    <row r="296">
      <c r="A296" s="31"/>
      <c r="G296" s="43"/>
    </row>
    <row r="297">
      <c r="A297" s="31"/>
      <c r="G297" s="43"/>
    </row>
    <row r="298">
      <c r="A298" s="31"/>
      <c r="G298" s="43"/>
    </row>
    <row r="299">
      <c r="A299" s="31"/>
      <c r="G299" s="43"/>
    </row>
    <row r="300">
      <c r="A300" s="31"/>
      <c r="G300" s="43"/>
    </row>
    <row r="301">
      <c r="A301" s="31"/>
      <c r="G301" s="43"/>
    </row>
    <row r="302">
      <c r="A302" s="31"/>
      <c r="G302" s="43"/>
    </row>
    <row r="303">
      <c r="A303" s="31"/>
      <c r="G303" s="43"/>
    </row>
    <row r="304">
      <c r="A304" s="31"/>
      <c r="G304" s="43"/>
    </row>
    <row r="305">
      <c r="A305" s="31"/>
      <c r="G305" s="43"/>
    </row>
    <row r="306">
      <c r="A306" s="31"/>
      <c r="G306" s="43"/>
    </row>
    <row r="307">
      <c r="A307" s="31"/>
      <c r="G307" s="43"/>
    </row>
    <row r="308">
      <c r="A308" s="31"/>
      <c r="G308" s="43"/>
    </row>
    <row r="309">
      <c r="A309" s="31"/>
      <c r="G309" s="43"/>
    </row>
    <row r="310">
      <c r="A310" s="31"/>
      <c r="G310" s="43"/>
    </row>
    <row r="311">
      <c r="A311" s="31"/>
      <c r="G311" s="43"/>
    </row>
    <row r="312">
      <c r="A312" s="31"/>
      <c r="G312" s="43"/>
    </row>
    <row r="313">
      <c r="A313" s="31"/>
      <c r="G313" s="43"/>
    </row>
    <row r="314">
      <c r="A314" s="31"/>
      <c r="G314" s="43"/>
    </row>
    <row r="315">
      <c r="A315" s="31"/>
      <c r="G315" s="43"/>
    </row>
    <row r="316">
      <c r="A316" s="31"/>
      <c r="G316" s="43"/>
    </row>
    <row r="317">
      <c r="A317" s="31"/>
      <c r="G317" s="43"/>
    </row>
    <row r="318">
      <c r="A318" s="31"/>
      <c r="G318" s="43"/>
    </row>
    <row r="319">
      <c r="A319" s="31"/>
      <c r="G319" s="43"/>
    </row>
    <row r="320">
      <c r="A320" s="31"/>
      <c r="G320" s="43"/>
    </row>
    <row r="321">
      <c r="A321" s="31"/>
      <c r="G321" s="43"/>
    </row>
    <row r="322">
      <c r="A322" s="31"/>
      <c r="G322" s="43"/>
    </row>
    <row r="323">
      <c r="A323" s="31"/>
      <c r="G323" s="43"/>
    </row>
    <row r="324">
      <c r="A324" s="31"/>
      <c r="G324" s="43"/>
    </row>
    <row r="325">
      <c r="A325" s="31"/>
      <c r="G325" s="43"/>
    </row>
    <row r="326">
      <c r="A326" s="31"/>
      <c r="G326" s="43"/>
    </row>
    <row r="327">
      <c r="A327" s="31"/>
      <c r="G327" s="43"/>
    </row>
    <row r="328">
      <c r="A328" s="31"/>
      <c r="G328" s="43"/>
    </row>
    <row r="329">
      <c r="A329" s="31"/>
      <c r="G329" s="43"/>
    </row>
    <row r="330">
      <c r="A330" s="31"/>
      <c r="G330" s="43"/>
    </row>
    <row r="331">
      <c r="A331" s="31"/>
      <c r="G331" s="43"/>
    </row>
    <row r="332">
      <c r="A332" s="31"/>
      <c r="G332" s="43"/>
    </row>
    <row r="333">
      <c r="A333" s="31"/>
      <c r="G333" s="43"/>
    </row>
    <row r="334">
      <c r="A334" s="31"/>
      <c r="G334" s="43"/>
    </row>
    <row r="335">
      <c r="A335" s="31"/>
      <c r="G335" s="43"/>
    </row>
    <row r="336">
      <c r="A336" s="31"/>
      <c r="G336" s="43"/>
    </row>
    <row r="337">
      <c r="A337" s="31"/>
      <c r="G337" s="43"/>
    </row>
    <row r="338">
      <c r="A338" s="31"/>
      <c r="G338" s="43"/>
    </row>
    <row r="339">
      <c r="A339" s="31"/>
      <c r="G339" s="43"/>
    </row>
    <row r="340">
      <c r="A340" s="31"/>
      <c r="G340" s="43"/>
    </row>
    <row r="341">
      <c r="A341" s="31"/>
      <c r="G341" s="43"/>
    </row>
    <row r="342">
      <c r="A342" s="31"/>
      <c r="G342" s="43"/>
    </row>
    <row r="343">
      <c r="A343" s="31"/>
      <c r="G343" s="43"/>
    </row>
    <row r="344">
      <c r="A344" s="31"/>
      <c r="G344" s="43"/>
    </row>
    <row r="345">
      <c r="A345" s="31"/>
      <c r="G345" s="43"/>
    </row>
    <row r="346">
      <c r="A346" s="31"/>
      <c r="G346" s="43"/>
    </row>
    <row r="347">
      <c r="A347" s="31"/>
      <c r="G347" s="43"/>
    </row>
    <row r="348">
      <c r="A348" s="31"/>
      <c r="G348" s="43"/>
    </row>
    <row r="349">
      <c r="A349" s="31"/>
      <c r="G349" s="43"/>
    </row>
    <row r="350">
      <c r="A350" s="31"/>
      <c r="G350" s="43"/>
    </row>
    <row r="351">
      <c r="A351" s="31"/>
      <c r="G351" s="43"/>
    </row>
    <row r="352">
      <c r="A352" s="31"/>
      <c r="G352" s="43"/>
    </row>
    <row r="353">
      <c r="A353" s="31"/>
      <c r="G353" s="43"/>
    </row>
    <row r="354">
      <c r="A354" s="31"/>
      <c r="G354" s="43"/>
    </row>
    <row r="355">
      <c r="A355" s="31"/>
      <c r="G355" s="43"/>
    </row>
    <row r="356">
      <c r="A356" s="31"/>
      <c r="G356" s="43"/>
    </row>
    <row r="357">
      <c r="A357" s="31"/>
      <c r="G357" s="43"/>
    </row>
    <row r="358">
      <c r="A358" s="31"/>
      <c r="G358" s="43"/>
    </row>
    <row r="359">
      <c r="A359" s="31"/>
      <c r="G359" s="43"/>
    </row>
    <row r="360">
      <c r="A360" s="31"/>
      <c r="G360" s="43"/>
    </row>
    <row r="361">
      <c r="A361" s="31"/>
      <c r="G361" s="43"/>
    </row>
    <row r="362">
      <c r="A362" s="31"/>
      <c r="G362" s="43"/>
    </row>
    <row r="363">
      <c r="A363" s="31"/>
      <c r="G363" s="43"/>
    </row>
    <row r="364">
      <c r="A364" s="31"/>
      <c r="G364" s="43"/>
    </row>
    <row r="365">
      <c r="A365" s="31"/>
      <c r="G365" s="43"/>
    </row>
    <row r="366">
      <c r="A366" s="31"/>
      <c r="G366" s="43"/>
    </row>
    <row r="367">
      <c r="A367" s="31"/>
      <c r="G367" s="43"/>
    </row>
    <row r="368">
      <c r="A368" s="31"/>
      <c r="G368" s="43"/>
    </row>
    <row r="369">
      <c r="A369" s="31"/>
      <c r="G369" s="43"/>
    </row>
    <row r="370">
      <c r="A370" s="31"/>
      <c r="G370" s="43"/>
    </row>
    <row r="371">
      <c r="A371" s="31"/>
      <c r="G371" s="43"/>
    </row>
    <row r="372">
      <c r="A372" s="31"/>
      <c r="G372" s="43"/>
    </row>
    <row r="373">
      <c r="A373" s="31"/>
      <c r="G373" s="43"/>
    </row>
    <row r="374">
      <c r="A374" s="31"/>
      <c r="G374" s="43"/>
    </row>
    <row r="375">
      <c r="A375" s="31"/>
      <c r="G375" s="43"/>
    </row>
    <row r="376">
      <c r="A376" s="31"/>
      <c r="G376" s="43"/>
    </row>
    <row r="377">
      <c r="A377" s="31"/>
      <c r="G377" s="43"/>
    </row>
    <row r="378">
      <c r="A378" s="31"/>
      <c r="G378" s="43"/>
    </row>
    <row r="379">
      <c r="A379" s="31"/>
      <c r="G379" s="43"/>
    </row>
    <row r="380">
      <c r="A380" s="31"/>
      <c r="G380" s="43"/>
    </row>
    <row r="381">
      <c r="A381" s="31"/>
      <c r="G381" s="43"/>
    </row>
    <row r="382">
      <c r="A382" s="31"/>
      <c r="G382" s="43"/>
    </row>
    <row r="383">
      <c r="A383" s="31"/>
      <c r="G383" s="43"/>
    </row>
    <row r="384">
      <c r="A384" s="31"/>
      <c r="G384" s="43"/>
    </row>
    <row r="385">
      <c r="A385" s="31"/>
      <c r="G385" s="43"/>
    </row>
    <row r="386">
      <c r="A386" s="31"/>
      <c r="G386" s="43"/>
    </row>
    <row r="387">
      <c r="A387" s="31"/>
      <c r="G387" s="43"/>
    </row>
    <row r="388">
      <c r="A388" s="31"/>
      <c r="G388" s="43"/>
    </row>
    <row r="389">
      <c r="A389" s="31"/>
      <c r="G389" s="43"/>
    </row>
    <row r="390">
      <c r="A390" s="31"/>
      <c r="G390" s="43"/>
    </row>
    <row r="391">
      <c r="A391" s="31"/>
      <c r="G391" s="43"/>
    </row>
    <row r="392">
      <c r="A392" s="31"/>
      <c r="G392" s="43"/>
    </row>
    <row r="393">
      <c r="A393" s="31"/>
      <c r="G393" s="43"/>
    </row>
    <row r="394">
      <c r="A394" s="31"/>
      <c r="G394" s="43"/>
    </row>
    <row r="395">
      <c r="A395" s="31"/>
      <c r="G395" s="43"/>
    </row>
    <row r="396">
      <c r="A396" s="31"/>
      <c r="G396" s="43"/>
    </row>
    <row r="397">
      <c r="A397" s="31"/>
      <c r="G397" s="43"/>
    </row>
    <row r="398">
      <c r="A398" s="31"/>
      <c r="G398" s="43"/>
    </row>
    <row r="399">
      <c r="A399" s="31"/>
      <c r="G399" s="43"/>
    </row>
    <row r="400">
      <c r="A400" s="31"/>
      <c r="G400" s="43"/>
    </row>
    <row r="401">
      <c r="A401" s="31"/>
      <c r="G401" s="43"/>
    </row>
    <row r="402">
      <c r="A402" s="31"/>
      <c r="G402" s="43"/>
    </row>
    <row r="403">
      <c r="A403" s="31"/>
      <c r="G403" s="43"/>
    </row>
    <row r="404">
      <c r="A404" s="31"/>
      <c r="G404" s="43"/>
    </row>
    <row r="405">
      <c r="A405" s="31"/>
      <c r="G405" s="43"/>
    </row>
    <row r="406">
      <c r="A406" s="31"/>
      <c r="G406" s="43"/>
    </row>
    <row r="407">
      <c r="A407" s="31"/>
      <c r="G407" s="43"/>
    </row>
    <row r="408">
      <c r="A408" s="31"/>
      <c r="G408" s="43"/>
    </row>
    <row r="409">
      <c r="A409" s="31"/>
      <c r="G409" s="43"/>
    </row>
    <row r="410">
      <c r="A410" s="31"/>
      <c r="G410" s="43"/>
    </row>
    <row r="411">
      <c r="A411" s="31"/>
      <c r="G411" s="43"/>
    </row>
    <row r="412">
      <c r="A412" s="31"/>
      <c r="G412" s="43"/>
    </row>
    <row r="413">
      <c r="A413" s="31"/>
      <c r="G413" s="43"/>
    </row>
    <row r="414">
      <c r="A414" s="31"/>
      <c r="G414" s="43"/>
    </row>
    <row r="415">
      <c r="A415" s="31"/>
      <c r="G415" s="43"/>
    </row>
    <row r="416">
      <c r="A416" s="31"/>
      <c r="G416" s="43"/>
    </row>
    <row r="417">
      <c r="A417" s="31"/>
      <c r="G417" s="43"/>
    </row>
    <row r="418">
      <c r="A418" s="31"/>
      <c r="G418" s="43"/>
    </row>
    <row r="419">
      <c r="A419" s="31"/>
      <c r="G419" s="43"/>
    </row>
    <row r="420">
      <c r="A420" s="31"/>
      <c r="G420" s="43"/>
    </row>
    <row r="421">
      <c r="A421" s="31"/>
      <c r="G421" s="43"/>
    </row>
    <row r="422">
      <c r="A422" s="31"/>
      <c r="G422" s="43"/>
    </row>
    <row r="423">
      <c r="A423" s="31"/>
      <c r="G423" s="43"/>
    </row>
    <row r="424">
      <c r="A424" s="31"/>
      <c r="G424" s="43"/>
    </row>
    <row r="425">
      <c r="A425" s="31"/>
      <c r="G425" s="43"/>
    </row>
    <row r="426">
      <c r="A426" s="31"/>
      <c r="G426" s="43"/>
    </row>
    <row r="427">
      <c r="A427" s="31"/>
      <c r="G427" s="43"/>
    </row>
    <row r="428">
      <c r="A428" s="31"/>
      <c r="G428" s="43"/>
    </row>
    <row r="429">
      <c r="A429" s="31"/>
      <c r="G429" s="43"/>
    </row>
    <row r="430">
      <c r="A430" s="31"/>
      <c r="G430" s="43"/>
    </row>
    <row r="431">
      <c r="A431" s="31"/>
      <c r="G431" s="43"/>
    </row>
    <row r="432">
      <c r="A432" s="31"/>
      <c r="G432" s="43"/>
    </row>
    <row r="433">
      <c r="A433" s="31"/>
      <c r="G433" s="43"/>
    </row>
    <row r="434">
      <c r="A434" s="31"/>
      <c r="G434" s="43"/>
    </row>
    <row r="435">
      <c r="A435" s="31"/>
      <c r="G435" s="43"/>
    </row>
    <row r="436">
      <c r="A436" s="31"/>
      <c r="G436" s="43"/>
    </row>
    <row r="437">
      <c r="A437" s="31"/>
      <c r="G437" s="43"/>
    </row>
    <row r="438">
      <c r="A438" s="31"/>
      <c r="G438" s="43"/>
    </row>
    <row r="439">
      <c r="A439" s="31"/>
      <c r="G439" s="43"/>
    </row>
    <row r="440">
      <c r="A440" s="31"/>
      <c r="G440" s="43"/>
    </row>
    <row r="441">
      <c r="A441" s="31"/>
      <c r="G441" s="43"/>
    </row>
    <row r="442">
      <c r="A442" s="31"/>
      <c r="G442" s="43"/>
    </row>
    <row r="443">
      <c r="A443" s="31"/>
      <c r="G443" s="43"/>
    </row>
    <row r="444">
      <c r="A444" s="31"/>
      <c r="G444" s="43"/>
    </row>
    <row r="445">
      <c r="A445" s="31"/>
      <c r="G445" s="43"/>
    </row>
    <row r="446">
      <c r="A446" s="31"/>
      <c r="G446" s="43"/>
    </row>
    <row r="447">
      <c r="A447" s="31"/>
      <c r="G447" s="43"/>
    </row>
    <row r="448">
      <c r="A448" s="31"/>
      <c r="G448" s="43"/>
    </row>
    <row r="449">
      <c r="A449" s="31"/>
      <c r="G449" s="43"/>
    </row>
    <row r="450">
      <c r="A450" s="31"/>
      <c r="G450" s="43"/>
    </row>
    <row r="451">
      <c r="A451" s="31"/>
      <c r="G451" s="43"/>
    </row>
    <row r="452">
      <c r="A452" s="31"/>
      <c r="G452" s="43"/>
    </row>
    <row r="453">
      <c r="A453" s="31"/>
      <c r="G453" s="43"/>
    </row>
    <row r="454">
      <c r="A454" s="31"/>
      <c r="G454" s="43"/>
    </row>
    <row r="455">
      <c r="A455" s="31"/>
      <c r="G455" s="43"/>
    </row>
    <row r="456">
      <c r="A456" s="31"/>
      <c r="G456" s="43"/>
    </row>
    <row r="457">
      <c r="A457" s="31"/>
      <c r="G457" s="43"/>
    </row>
    <row r="458">
      <c r="A458" s="31"/>
      <c r="G458" s="43"/>
    </row>
    <row r="459">
      <c r="A459" s="31"/>
      <c r="G459" s="43"/>
    </row>
    <row r="460">
      <c r="A460" s="31"/>
      <c r="G460" s="43"/>
    </row>
    <row r="461">
      <c r="A461" s="31"/>
      <c r="G461" s="43"/>
    </row>
    <row r="462">
      <c r="A462" s="31"/>
      <c r="G462" s="43"/>
    </row>
    <row r="463">
      <c r="A463" s="31"/>
      <c r="G463" s="43"/>
    </row>
    <row r="464">
      <c r="A464" s="31"/>
      <c r="G464" s="43"/>
    </row>
    <row r="465">
      <c r="A465" s="31"/>
      <c r="G465" s="43"/>
    </row>
    <row r="466">
      <c r="A466" s="31"/>
      <c r="G466" s="43"/>
    </row>
    <row r="467">
      <c r="A467" s="31"/>
      <c r="G467" s="43"/>
    </row>
    <row r="468">
      <c r="A468" s="31"/>
      <c r="G468" s="43"/>
    </row>
    <row r="469">
      <c r="A469" s="31"/>
      <c r="G469" s="43"/>
    </row>
    <row r="470">
      <c r="A470" s="31"/>
      <c r="G470" s="43"/>
    </row>
    <row r="471">
      <c r="A471" s="31"/>
      <c r="G471" s="43"/>
    </row>
    <row r="472">
      <c r="A472" s="31"/>
      <c r="G472" s="43"/>
    </row>
    <row r="473">
      <c r="A473" s="31"/>
      <c r="G473" s="43"/>
    </row>
    <row r="474">
      <c r="A474" s="31"/>
      <c r="G474" s="43"/>
    </row>
    <row r="475">
      <c r="A475" s="31"/>
      <c r="G475" s="43"/>
    </row>
    <row r="476">
      <c r="A476" s="31"/>
      <c r="G476" s="43"/>
    </row>
    <row r="477">
      <c r="A477" s="31"/>
      <c r="G477" s="43"/>
    </row>
    <row r="478">
      <c r="A478" s="31"/>
      <c r="G478" s="43"/>
    </row>
    <row r="479">
      <c r="A479" s="31"/>
      <c r="G479" s="43"/>
    </row>
    <row r="480">
      <c r="A480" s="31"/>
      <c r="G480" s="43"/>
    </row>
    <row r="481">
      <c r="A481" s="31"/>
      <c r="G481" s="43"/>
    </row>
    <row r="482">
      <c r="A482" s="31"/>
      <c r="G482" s="43"/>
    </row>
    <row r="483">
      <c r="A483" s="31"/>
      <c r="G483" s="43"/>
    </row>
    <row r="484">
      <c r="A484" s="31"/>
      <c r="G484" s="43"/>
    </row>
    <row r="485">
      <c r="A485" s="31"/>
      <c r="G485" s="43"/>
    </row>
    <row r="486">
      <c r="A486" s="31"/>
      <c r="G486" s="43"/>
    </row>
    <row r="487">
      <c r="A487" s="31"/>
      <c r="G487" s="43"/>
    </row>
    <row r="488">
      <c r="A488" s="31"/>
      <c r="G488" s="43"/>
    </row>
    <row r="489">
      <c r="A489" s="31"/>
      <c r="G489" s="43"/>
    </row>
    <row r="490">
      <c r="A490" s="31"/>
      <c r="G490" s="43"/>
    </row>
    <row r="491">
      <c r="A491" s="31"/>
      <c r="G491" s="43"/>
    </row>
    <row r="492">
      <c r="A492" s="31"/>
      <c r="G492" s="43"/>
    </row>
    <row r="493">
      <c r="A493" s="31"/>
      <c r="G493" s="43"/>
    </row>
    <row r="494">
      <c r="A494" s="31"/>
      <c r="G494" s="43"/>
    </row>
    <row r="495">
      <c r="A495" s="31"/>
      <c r="G495" s="43"/>
    </row>
    <row r="496">
      <c r="A496" s="31"/>
      <c r="G496" s="43"/>
    </row>
    <row r="497">
      <c r="A497" s="31"/>
      <c r="G497" s="43"/>
    </row>
    <row r="498">
      <c r="A498" s="31"/>
      <c r="G498" s="43"/>
    </row>
    <row r="499">
      <c r="A499" s="31"/>
      <c r="G499" s="43"/>
    </row>
    <row r="500">
      <c r="A500" s="31"/>
      <c r="G500" s="43"/>
    </row>
    <row r="501">
      <c r="A501" s="31"/>
      <c r="G501" s="43"/>
    </row>
    <row r="502">
      <c r="A502" s="31"/>
      <c r="G502" s="43"/>
    </row>
    <row r="503">
      <c r="A503" s="31"/>
      <c r="G503" s="43"/>
    </row>
    <row r="504">
      <c r="A504" s="31"/>
      <c r="G504" s="43"/>
    </row>
    <row r="505">
      <c r="A505" s="31"/>
      <c r="G505" s="43"/>
    </row>
    <row r="506">
      <c r="A506" s="31"/>
      <c r="G506" s="43"/>
    </row>
    <row r="507">
      <c r="A507" s="31"/>
      <c r="G507" s="43"/>
    </row>
    <row r="508">
      <c r="A508" s="31"/>
      <c r="G508" s="43"/>
    </row>
    <row r="509">
      <c r="A509" s="31"/>
      <c r="G509" s="43"/>
    </row>
    <row r="510">
      <c r="A510" s="31"/>
      <c r="G510" s="43"/>
    </row>
    <row r="511">
      <c r="A511" s="31"/>
      <c r="G511" s="43"/>
    </row>
    <row r="512">
      <c r="A512" s="31"/>
      <c r="G512" s="43"/>
    </row>
    <row r="513">
      <c r="A513" s="31"/>
      <c r="G513" s="43"/>
    </row>
    <row r="514">
      <c r="A514" s="31"/>
      <c r="G514" s="43"/>
    </row>
    <row r="515">
      <c r="A515" s="31"/>
      <c r="G515" s="43"/>
    </row>
    <row r="516">
      <c r="A516" s="31"/>
      <c r="G516" s="43"/>
    </row>
    <row r="517">
      <c r="A517" s="31"/>
      <c r="G517" s="43"/>
    </row>
    <row r="518">
      <c r="A518" s="31"/>
      <c r="G518" s="43"/>
    </row>
    <row r="519">
      <c r="A519" s="31"/>
      <c r="G519" s="43"/>
    </row>
    <row r="520">
      <c r="A520" s="31"/>
      <c r="G520" s="43"/>
    </row>
    <row r="521">
      <c r="A521" s="31"/>
      <c r="G521" s="43"/>
    </row>
    <row r="522">
      <c r="A522" s="31"/>
      <c r="G522" s="43"/>
    </row>
    <row r="523">
      <c r="A523" s="31"/>
      <c r="G523" s="43"/>
    </row>
    <row r="524">
      <c r="A524" s="31"/>
      <c r="G524" s="43"/>
    </row>
    <row r="525">
      <c r="A525" s="31"/>
      <c r="G525" s="43"/>
    </row>
    <row r="526">
      <c r="A526" s="31"/>
      <c r="G526" s="43"/>
    </row>
    <row r="527">
      <c r="A527" s="31"/>
      <c r="G527" s="43"/>
    </row>
    <row r="528">
      <c r="A528" s="31"/>
      <c r="G528" s="43"/>
    </row>
    <row r="529">
      <c r="A529" s="31"/>
      <c r="G529" s="43"/>
    </row>
    <row r="530">
      <c r="A530" s="31"/>
      <c r="G530" s="43"/>
    </row>
    <row r="531">
      <c r="A531" s="31"/>
      <c r="G531" s="43"/>
    </row>
    <row r="532">
      <c r="A532" s="31"/>
      <c r="G532" s="43"/>
    </row>
    <row r="533">
      <c r="A533" s="31"/>
      <c r="G533" s="43"/>
    </row>
    <row r="534">
      <c r="A534" s="31"/>
      <c r="G534" s="43"/>
    </row>
    <row r="535">
      <c r="A535" s="31"/>
      <c r="G535" s="43"/>
    </row>
    <row r="536">
      <c r="A536" s="31"/>
      <c r="G536" s="43"/>
    </row>
    <row r="537">
      <c r="A537" s="31"/>
      <c r="G537" s="43"/>
    </row>
    <row r="538">
      <c r="A538" s="31"/>
      <c r="G538" s="43"/>
    </row>
    <row r="539">
      <c r="A539" s="31"/>
      <c r="G539" s="43"/>
    </row>
    <row r="540">
      <c r="A540" s="31"/>
      <c r="G540" s="43"/>
    </row>
    <row r="541">
      <c r="A541" s="31"/>
      <c r="G541" s="43"/>
    </row>
    <row r="542">
      <c r="A542" s="31"/>
      <c r="G542" s="43"/>
    </row>
    <row r="543">
      <c r="A543" s="31"/>
      <c r="G543" s="43"/>
    </row>
    <row r="544">
      <c r="A544" s="31"/>
      <c r="G544" s="43"/>
    </row>
    <row r="545">
      <c r="A545" s="31"/>
      <c r="G545" s="43"/>
    </row>
    <row r="546">
      <c r="A546" s="31"/>
      <c r="G546" s="43"/>
    </row>
    <row r="547">
      <c r="A547" s="31"/>
      <c r="G547" s="43"/>
    </row>
    <row r="548">
      <c r="A548" s="31"/>
      <c r="G548" s="43"/>
    </row>
    <row r="549">
      <c r="A549" s="31"/>
      <c r="G549" s="43"/>
    </row>
    <row r="550">
      <c r="A550" s="31"/>
      <c r="G550" s="43"/>
    </row>
    <row r="551">
      <c r="A551" s="31"/>
      <c r="G551" s="43"/>
    </row>
    <row r="552">
      <c r="A552" s="31"/>
      <c r="G552" s="43"/>
    </row>
    <row r="553">
      <c r="A553" s="31"/>
      <c r="G553" s="43"/>
    </row>
    <row r="554">
      <c r="A554" s="31"/>
      <c r="G554" s="43"/>
    </row>
    <row r="555">
      <c r="A555" s="31"/>
      <c r="G555" s="43"/>
    </row>
    <row r="556">
      <c r="A556" s="31"/>
      <c r="G556" s="43"/>
    </row>
    <row r="557">
      <c r="A557" s="31"/>
      <c r="G557" s="43"/>
    </row>
    <row r="558">
      <c r="A558" s="31"/>
      <c r="G558" s="43"/>
    </row>
    <row r="559">
      <c r="A559" s="31"/>
      <c r="G559" s="43"/>
    </row>
    <row r="560">
      <c r="A560" s="31"/>
      <c r="G560" s="43"/>
    </row>
    <row r="561">
      <c r="A561" s="31"/>
      <c r="G561" s="43"/>
    </row>
    <row r="562">
      <c r="A562" s="31"/>
      <c r="G562" s="43"/>
    </row>
    <row r="563">
      <c r="A563" s="31"/>
      <c r="G563" s="43"/>
    </row>
    <row r="564">
      <c r="A564" s="31"/>
      <c r="G564" s="43"/>
    </row>
    <row r="565">
      <c r="A565" s="31"/>
      <c r="G565" s="43"/>
    </row>
    <row r="566">
      <c r="A566" s="31"/>
      <c r="G566" s="43"/>
    </row>
    <row r="567">
      <c r="A567" s="31"/>
      <c r="G567" s="43"/>
    </row>
    <row r="568">
      <c r="A568" s="31"/>
      <c r="G568" s="43"/>
    </row>
    <row r="569">
      <c r="A569" s="31"/>
      <c r="G569" s="43"/>
    </row>
    <row r="570">
      <c r="A570" s="31"/>
      <c r="G570" s="43"/>
    </row>
    <row r="571">
      <c r="A571" s="31"/>
      <c r="G571" s="43"/>
    </row>
    <row r="572">
      <c r="A572" s="31"/>
      <c r="G572" s="43"/>
    </row>
    <row r="573">
      <c r="A573" s="31"/>
      <c r="G573" s="43"/>
    </row>
    <row r="574">
      <c r="A574" s="31"/>
      <c r="G574" s="43"/>
    </row>
    <row r="575">
      <c r="A575" s="31"/>
      <c r="G575" s="43"/>
    </row>
    <row r="576">
      <c r="A576" s="31"/>
      <c r="G576" s="43"/>
    </row>
    <row r="577">
      <c r="A577" s="31"/>
      <c r="G577" s="43"/>
    </row>
    <row r="578">
      <c r="A578" s="31"/>
      <c r="G578" s="43"/>
    </row>
    <row r="579">
      <c r="A579" s="31"/>
      <c r="G579" s="43"/>
    </row>
    <row r="580">
      <c r="A580" s="31"/>
      <c r="G580" s="43"/>
    </row>
    <row r="581">
      <c r="A581" s="31"/>
      <c r="G581" s="43"/>
    </row>
    <row r="582">
      <c r="A582" s="31"/>
      <c r="G582" s="43"/>
    </row>
    <row r="583">
      <c r="A583" s="31"/>
      <c r="G583" s="43"/>
    </row>
    <row r="584">
      <c r="A584" s="31"/>
      <c r="G584" s="43"/>
    </row>
    <row r="585">
      <c r="A585" s="31"/>
      <c r="G585" s="43"/>
    </row>
    <row r="586">
      <c r="A586" s="31"/>
      <c r="G586" s="43"/>
    </row>
    <row r="587">
      <c r="A587" s="31"/>
      <c r="G587" s="43"/>
    </row>
    <row r="588">
      <c r="A588" s="31"/>
      <c r="G588" s="43"/>
    </row>
    <row r="589">
      <c r="A589" s="31"/>
      <c r="G589" s="43"/>
    </row>
    <row r="590">
      <c r="A590" s="31"/>
      <c r="G590" s="43"/>
    </row>
    <row r="591">
      <c r="A591" s="31"/>
      <c r="G591" s="43"/>
    </row>
    <row r="592">
      <c r="A592" s="31"/>
      <c r="G592" s="43"/>
    </row>
    <row r="593">
      <c r="A593" s="31"/>
      <c r="G593" s="43"/>
    </row>
    <row r="594">
      <c r="A594" s="31"/>
      <c r="G594" s="43"/>
    </row>
    <row r="595">
      <c r="A595" s="31"/>
      <c r="G595" s="43"/>
    </row>
    <row r="596">
      <c r="A596" s="31"/>
      <c r="G596" s="43"/>
    </row>
    <row r="597">
      <c r="A597" s="31"/>
      <c r="G597" s="43"/>
    </row>
    <row r="598">
      <c r="A598" s="31"/>
      <c r="G598" s="43"/>
    </row>
    <row r="599">
      <c r="A599" s="31"/>
      <c r="G599" s="43"/>
    </row>
    <row r="600">
      <c r="A600" s="31"/>
      <c r="G600" s="43"/>
    </row>
    <row r="601">
      <c r="A601" s="31"/>
      <c r="G601" s="43"/>
    </row>
    <row r="602">
      <c r="A602" s="31"/>
      <c r="G602" s="43"/>
    </row>
    <row r="603">
      <c r="A603" s="31"/>
      <c r="G603" s="43"/>
    </row>
    <row r="604">
      <c r="A604" s="31"/>
      <c r="G604" s="43"/>
    </row>
    <row r="605">
      <c r="A605" s="31"/>
      <c r="G605" s="43"/>
    </row>
    <row r="606">
      <c r="A606" s="31"/>
      <c r="G606" s="43"/>
    </row>
    <row r="607">
      <c r="A607" s="31"/>
      <c r="G607" s="43"/>
    </row>
    <row r="608">
      <c r="A608" s="31"/>
      <c r="G608" s="43"/>
    </row>
    <row r="609">
      <c r="A609" s="31"/>
      <c r="G609" s="43"/>
    </row>
    <row r="610">
      <c r="A610" s="31"/>
      <c r="G610" s="43"/>
    </row>
    <row r="611">
      <c r="A611" s="31"/>
      <c r="G611" s="43"/>
    </row>
    <row r="612">
      <c r="A612" s="31"/>
      <c r="G612" s="43"/>
    </row>
    <row r="613">
      <c r="A613" s="31"/>
      <c r="G613" s="43"/>
    </row>
    <row r="614">
      <c r="A614" s="31"/>
      <c r="G614" s="43"/>
    </row>
    <row r="615">
      <c r="A615" s="31"/>
      <c r="G615" s="43"/>
    </row>
    <row r="616">
      <c r="A616" s="31"/>
      <c r="G616" s="43"/>
    </row>
    <row r="617">
      <c r="A617" s="31"/>
      <c r="G617" s="43"/>
    </row>
    <row r="618">
      <c r="A618" s="31"/>
      <c r="G618" s="43"/>
    </row>
    <row r="619">
      <c r="A619" s="31"/>
      <c r="G619" s="43"/>
    </row>
    <row r="620">
      <c r="A620" s="31"/>
      <c r="G620" s="43"/>
    </row>
    <row r="621">
      <c r="A621" s="31"/>
      <c r="G621" s="43"/>
    </row>
    <row r="622">
      <c r="A622" s="31"/>
      <c r="G622" s="43"/>
    </row>
    <row r="623">
      <c r="A623" s="31"/>
      <c r="G623" s="43"/>
    </row>
    <row r="624">
      <c r="A624" s="31"/>
      <c r="G624" s="43"/>
    </row>
    <row r="625">
      <c r="A625" s="31"/>
      <c r="G625" s="43"/>
    </row>
    <row r="626">
      <c r="A626" s="31"/>
      <c r="G626" s="43"/>
    </row>
    <row r="627">
      <c r="A627" s="31"/>
      <c r="G627" s="43"/>
    </row>
    <row r="628">
      <c r="A628" s="31"/>
      <c r="G628" s="43"/>
    </row>
    <row r="629">
      <c r="A629" s="31"/>
      <c r="G629" s="43"/>
    </row>
    <row r="630">
      <c r="A630" s="31"/>
      <c r="G630" s="43"/>
    </row>
    <row r="631">
      <c r="A631" s="31"/>
      <c r="G631" s="43"/>
    </row>
    <row r="632">
      <c r="A632" s="31"/>
      <c r="G632" s="43"/>
    </row>
    <row r="633">
      <c r="A633" s="31"/>
      <c r="G633" s="43"/>
    </row>
    <row r="634">
      <c r="A634" s="31"/>
      <c r="G634" s="43"/>
    </row>
    <row r="635">
      <c r="A635" s="31"/>
      <c r="G635" s="43"/>
    </row>
    <row r="636">
      <c r="A636" s="31"/>
      <c r="G636" s="43"/>
    </row>
    <row r="637">
      <c r="A637" s="31"/>
      <c r="G637" s="43"/>
    </row>
    <row r="638">
      <c r="A638" s="31"/>
      <c r="G638" s="43"/>
    </row>
    <row r="639">
      <c r="A639" s="31"/>
      <c r="G639" s="43"/>
    </row>
    <row r="640">
      <c r="A640" s="31"/>
      <c r="G640" s="43"/>
    </row>
    <row r="641">
      <c r="A641" s="31"/>
      <c r="G641" s="43"/>
    </row>
    <row r="642">
      <c r="A642" s="31"/>
      <c r="G642" s="43"/>
    </row>
    <row r="643">
      <c r="A643" s="31"/>
      <c r="G643" s="43"/>
    </row>
    <row r="644">
      <c r="A644" s="31"/>
      <c r="G644" s="43"/>
    </row>
    <row r="645">
      <c r="A645" s="31"/>
      <c r="G645" s="43"/>
    </row>
    <row r="646">
      <c r="A646" s="31"/>
      <c r="G646" s="43"/>
    </row>
    <row r="647">
      <c r="A647" s="31"/>
      <c r="G647" s="43"/>
    </row>
    <row r="648">
      <c r="A648" s="31"/>
      <c r="G648" s="43"/>
    </row>
    <row r="649">
      <c r="A649" s="31"/>
      <c r="G649" s="43"/>
    </row>
    <row r="650">
      <c r="A650" s="31"/>
      <c r="G650" s="43"/>
    </row>
    <row r="651">
      <c r="A651" s="31"/>
      <c r="G651" s="43"/>
    </row>
    <row r="652">
      <c r="A652" s="31"/>
      <c r="G652" s="43"/>
    </row>
    <row r="653">
      <c r="A653" s="31"/>
      <c r="G653" s="43"/>
    </row>
    <row r="654">
      <c r="A654" s="31"/>
      <c r="G654" s="43"/>
    </row>
    <row r="655">
      <c r="A655" s="31"/>
      <c r="G655" s="43"/>
    </row>
    <row r="656">
      <c r="A656" s="31"/>
      <c r="G656" s="43"/>
    </row>
    <row r="657">
      <c r="A657" s="31"/>
      <c r="G657" s="43"/>
    </row>
    <row r="658">
      <c r="A658" s="31"/>
      <c r="G658" s="43"/>
    </row>
    <row r="659">
      <c r="A659" s="31"/>
      <c r="G659" s="43"/>
    </row>
    <row r="660">
      <c r="A660" s="31"/>
      <c r="G660" s="43"/>
    </row>
    <row r="661">
      <c r="A661" s="31"/>
      <c r="G661" s="43"/>
    </row>
    <row r="662">
      <c r="A662" s="31"/>
      <c r="G662" s="43"/>
    </row>
    <row r="663">
      <c r="A663" s="31"/>
      <c r="G663" s="43"/>
    </row>
    <row r="664">
      <c r="A664" s="31"/>
      <c r="G664" s="43"/>
    </row>
    <row r="665">
      <c r="A665" s="31"/>
      <c r="G665" s="43"/>
    </row>
    <row r="666">
      <c r="A666" s="31"/>
      <c r="G666" s="43"/>
    </row>
    <row r="667">
      <c r="A667" s="31"/>
      <c r="G667" s="43"/>
    </row>
    <row r="668">
      <c r="A668" s="31"/>
      <c r="G668" s="43"/>
    </row>
    <row r="669">
      <c r="A669" s="31"/>
      <c r="G669" s="43"/>
    </row>
    <row r="670">
      <c r="A670" s="31"/>
      <c r="G670" s="43"/>
    </row>
    <row r="671">
      <c r="A671" s="31"/>
      <c r="G671" s="43"/>
    </row>
    <row r="672">
      <c r="A672" s="31"/>
      <c r="G672" s="43"/>
    </row>
    <row r="673">
      <c r="A673" s="31"/>
      <c r="G673" s="43"/>
    </row>
    <row r="674">
      <c r="A674" s="31"/>
      <c r="G674" s="43"/>
    </row>
    <row r="675">
      <c r="A675" s="31"/>
      <c r="G675" s="43"/>
    </row>
    <row r="676">
      <c r="A676" s="31"/>
      <c r="G676" s="43"/>
    </row>
    <row r="677">
      <c r="A677" s="31"/>
      <c r="G677" s="43"/>
    </row>
    <row r="678">
      <c r="A678" s="31"/>
      <c r="G678" s="43"/>
    </row>
    <row r="679">
      <c r="A679" s="31"/>
      <c r="G679" s="43"/>
    </row>
    <row r="680">
      <c r="A680" s="31"/>
      <c r="G680" s="43"/>
    </row>
    <row r="681">
      <c r="A681" s="31"/>
      <c r="G681" s="43"/>
    </row>
    <row r="682">
      <c r="A682" s="31"/>
      <c r="G682" s="43"/>
    </row>
    <row r="683">
      <c r="A683" s="31"/>
      <c r="G683" s="43"/>
    </row>
    <row r="684">
      <c r="A684" s="31"/>
      <c r="G684" s="43"/>
    </row>
    <row r="685">
      <c r="A685" s="31"/>
      <c r="G685" s="43"/>
    </row>
    <row r="686">
      <c r="A686" s="31"/>
      <c r="G686" s="43"/>
    </row>
    <row r="687">
      <c r="A687" s="31"/>
      <c r="G687" s="43"/>
    </row>
    <row r="688">
      <c r="A688" s="31"/>
      <c r="G688" s="43"/>
    </row>
    <row r="689">
      <c r="A689" s="31"/>
      <c r="G689" s="43"/>
    </row>
    <row r="690">
      <c r="A690" s="31"/>
      <c r="G690" s="43"/>
    </row>
    <row r="691">
      <c r="A691" s="31"/>
      <c r="G691" s="43"/>
    </row>
    <row r="692">
      <c r="A692" s="31"/>
      <c r="G692" s="43"/>
    </row>
    <row r="693">
      <c r="A693" s="31"/>
      <c r="G693" s="43"/>
    </row>
    <row r="694">
      <c r="A694" s="31"/>
      <c r="G694" s="43"/>
    </row>
    <row r="695">
      <c r="A695" s="31"/>
      <c r="G695" s="43"/>
    </row>
    <row r="696">
      <c r="A696" s="31"/>
      <c r="G696" s="43"/>
    </row>
    <row r="697">
      <c r="A697" s="31"/>
      <c r="G697" s="43"/>
    </row>
    <row r="698">
      <c r="A698" s="31"/>
      <c r="G698" s="43"/>
    </row>
    <row r="699">
      <c r="A699" s="31"/>
      <c r="G699" s="43"/>
    </row>
    <row r="700">
      <c r="A700" s="31"/>
      <c r="G700" s="43"/>
    </row>
    <row r="701">
      <c r="A701" s="31"/>
      <c r="G701" s="43"/>
    </row>
    <row r="702">
      <c r="A702" s="31"/>
      <c r="G702" s="43"/>
    </row>
    <row r="703">
      <c r="A703" s="31"/>
      <c r="G703" s="43"/>
    </row>
    <row r="704">
      <c r="A704" s="31"/>
      <c r="G704" s="43"/>
    </row>
    <row r="705">
      <c r="A705" s="31"/>
      <c r="G705" s="43"/>
    </row>
    <row r="706">
      <c r="A706" s="31"/>
      <c r="G706" s="43"/>
    </row>
    <row r="707">
      <c r="A707" s="31"/>
      <c r="G707" s="43"/>
    </row>
    <row r="708">
      <c r="A708" s="31"/>
      <c r="G708" s="43"/>
    </row>
    <row r="709">
      <c r="A709" s="31"/>
      <c r="G709" s="43"/>
    </row>
    <row r="710">
      <c r="A710" s="31"/>
      <c r="G710" s="43"/>
    </row>
    <row r="711">
      <c r="A711" s="31"/>
      <c r="G711" s="43"/>
    </row>
    <row r="712">
      <c r="A712" s="31"/>
      <c r="G712" s="43"/>
    </row>
    <row r="713">
      <c r="A713" s="31"/>
      <c r="G713" s="43"/>
    </row>
    <row r="714">
      <c r="A714" s="31"/>
      <c r="G714" s="43"/>
    </row>
    <row r="715">
      <c r="A715" s="31"/>
      <c r="G715" s="43"/>
    </row>
    <row r="716">
      <c r="A716" s="31"/>
      <c r="G716" s="43"/>
    </row>
    <row r="717">
      <c r="A717" s="31"/>
      <c r="G717" s="43"/>
    </row>
    <row r="718">
      <c r="A718" s="31"/>
      <c r="G718" s="43"/>
    </row>
    <row r="719">
      <c r="A719" s="31"/>
      <c r="G719" s="43"/>
    </row>
    <row r="720">
      <c r="A720" s="31"/>
      <c r="G720" s="43"/>
    </row>
    <row r="721">
      <c r="A721" s="31"/>
      <c r="G721" s="43"/>
    </row>
    <row r="722">
      <c r="A722" s="31"/>
      <c r="G722" s="43"/>
    </row>
    <row r="723">
      <c r="A723" s="31"/>
      <c r="G723" s="43"/>
    </row>
    <row r="724">
      <c r="A724" s="31"/>
      <c r="G724" s="43"/>
    </row>
    <row r="725">
      <c r="A725" s="31"/>
      <c r="G725" s="43"/>
    </row>
    <row r="726">
      <c r="A726" s="31"/>
      <c r="G726" s="43"/>
    </row>
    <row r="727">
      <c r="A727" s="31"/>
      <c r="G727" s="43"/>
    </row>
    <row r="728">
      <c r="A728" s="31"/>
      <c r="G728" s="43"/>
    </row>
    <row r="729">
      <c r="A729" s="31"/>
      <c r="G729" s="43"/>
    </row>
    <row r="730">
      <c r="A730" s="31"/>
      <c r="G730" s="43"/>
    </row>
    <row r="731">
      <c r="A731" s="31"/>
      <c r="G731" s="43"/>
    </row>
    <row r="732">
      <c r="A732" s="31"/>
      <c r="G732" s="43"/>
    </row>
    <row r="733">
      <c r="A733" s="31"/>
      <c r="G733" s="43"/>
    </row>
    <row r="734">
      <c r="A734" s="31"/>
      <c r="G734" s="43"/>
    </row>
    <row r="735">
      <c r="A735" s="31"/>
      <c r="G735" s="43"/>
    </row>
    <row r="736">
      <c r="A736" s="31"/>
      <c r="G736" s="43"/>
    </row>
    <row r="737">
      <c r="A737" s="31"/>
      <c r="G737" s="43"/>
    </row>
    <row r="738">
      <c r="A738" s="31"/>
      <c r="G738" s="43"/>
    </row>
    <row r="739">
      <c r="A739" s="31"/>
      <c r="G739" s="43"/>
    </row>
    <row r="740">
      <c r="A740" s="31"/>
      <c r="G740" s="43"/>
    </row>
    <row r="741">
      <c r="A741" s="31"/>
      <c r="G741" s="43"/>
    </row>
    <row r="742">
      <c r="A742" s="31"/>
      <c r="G742" s="43"/>
    </row>
    <row r="743">
      <c r="A743" s="31"/>
      <c r="G743" s="43"/>
    </row>
    <row r="744">
      <c r="A744" s="31"/>
      <c r="G744" s="43"/>
    </row>
    <row r="745">
      <c r="A745" s="31"/>
      <c r="G745" s="43"/>
    </row>
    <row r="746">
      <c r="A746" s="31"/>
      <c r="G746" s="43"/>
    </row>
    <row r="747">
      <c r="A747" s="31"/>
      <c r="G747" s="43"/>
    </row>
    <row r="748">
      <c r="A748" s="31"/>
      <c r="G748" s="43"/>
    </row>
    <row r="749">
      <c r="A749" s="31"/>
      <c r="G749" s="43"/>
    </row>
    <row r="750">
      <c r="A750" s="31"/>
      <c r="G750" s="43"/>
    </row>
    <row r="751">
      <c r="A751" s="31"/>
      <c r="G751" s="43"/>
    </row>
    <row r="752">
      <c r="A752" s="31"/>
      <c r="G752" s="43"/>
    </row>
    <row r="753">
      <c r="A753" s="31"/>
      <c r="G753" s="43"/>
    </row>
    <row r="754">
      <c r="A754" s="31"/>
      <c r="G754" s="43"/>
    </row>
    <row r="755">
      <c r="A755" s="31"/>
      <c r="G755" s="43"/>
    </row>
    <row r="756">
      <c r="A756" s="31"/>
      <c r="G756" s="43"/>
    </row>
    <row r="757">
      <c r="A757" s="31"/>
      <c r="G757" s="43"/>
    </row>
    <row r="758">
      <c r="A758" s="31"/>
      <c r="G758" s="43"/>
    </row>
    <row r="759">
      <c r="A759" s="31"/>
      <c r="G759" s="43"/>
    </row>
    <row r="760">
      <c r="A760" s="31"/>
      <c r="G760" s="43"/>
    </row>
    <row r="761">
      <c r="A761" s="31"/>
      <c r="G761" s="43"/>
    </row>
    <row r="762">
      <c r="A762" s="31"/>
      <c r="G762" s="43"/>
    </row>
    <row r="763">
      <c r="A763" s="31"/>
      <c r="G763" s="43"/>
    </row>
    <row r="764">
      <c r="A764" s="31"/>
      <c r="G764" s="43"/>
    </row>
    <row r="765">
      <c r="A765" s="31"/>
      <c r="G765" s="43"/>
    </row>
    <row r="766">
      <c r="A766" s="31"/>
      <c r="G766" s="43"/>
    </row>
    <row r="767">
      <c r="A767" s="31"/>
      <c r="G767" s="43"/>
    </row>
    <row r="768">
      <c r="A768" s="31"/>
      <c r="G768" s="43"/>
    </row>
    <row r="769">
      <c r="A769" s="31"/>
      <c r="G769" s="43"/>
    </row>
    <row r="770">
      <c r="A770" s="31"/>
      <c r="G770" s="43"/>
    </row>
    <row r="771">
      <c r="A771" s="31"/>
      <c r="G771" s="43"/>
    </row>
    <row r="772">
      <c r="A772" s="31"/>
      <c r="G772" s="43"/>
    </row>
    <row r="773">
      <c r="A773" s="31"/>
      <c r="G773" s="43"/>
    </row>
    <row r="774">
      <c r="A774" s="31"/>
      <c r="G774" s="43"/>
    </row>
    <row r="775">
      <c r="A775" s="31"/>
      <c r="G775" s="43"/>
    </row>
    <row r="776">
      <c r="A776" s="31"/>
      <c r="G776" s="43"/>
    </row>
    <row r="777">
      <c r="A777" s="31"/>
      <c r="G777" s="43"/>
    </row>
    <row r="778">
      <c r="A778" s="31"/>
      <c r="G778" s="43"/>
    </row>
    <row r="779">
      <c r="A779" s="31"/>
      <c r="G779" s="43"/>
    </row>
    <row r="780">
      <c r="A780" s="31"/>
      <c r="G780" s="43"/>
    </row>
    <row r="781">
      <c r="A781" s="31"/>
      <c r="G781" s="43"/>
    </row>
    <row r="782">
      <c r="A782" s="31"/>
      <c r="G782" s="43"/>
    </row>
    <row r="783">
      <c r="A783" s="31"/>
      <c r="G783" s="43"/>
    </row>
    <row r="784">
      <c r="A784" s="31"/>
      <c r="G784" s="43"/>
    </row>
    <row r="785">
      <c r="A785" s="31"/>
      <c r="G785" s="43"/>
    </row>
    <row r="786">
      <c r="A786" s="31"/>
      <c r="G786" s="43"/>
    </row>
    <row r="787">
      <c r="A787" s="31"/>
      <c r="G787" s="43"/>
    </row>
    <row r="788">
      <c r="A788" s="31"/>
      <c r="G788" s="43"/>
    </row>
    <row r="789">
      <c r="A789" s="31"/>
      <c r="G789" s="43"/>
    </row>
    <row r="790">
      <c r="A790" s="31"/>
      <c r="G790" s="43"/>
    </row>
    <row r="791">
      <c r="A791" s="31"/>
      <c r="G791" s="43"/>
    </row>
    <row r="792">
      <c r="A792" s="31"/>
      <c r="G792" s="43"/>
    </row>
    <row r="793">
      <c r="A793" s="31"/>
      <c r="G793" s="43"/>
    </row>
    <row r="794">
      <c r="A794" s="31"/>
      <c r="G794" s="43"/>
    </row>
    <row r="795">
      <c r="A795" s="31"/>
      <c r="G795" s="43"/>
    </row>
    <row r="796">
      <c r="A796" s="31"/>
      <c r="G796" s="43"/>
    </row>
    <row r="797">
      <c r="A797" s="31"/>
      <c r="G797" s="43"/>
    </row>
    <row r="798">
      <c r="A798" s="31"/>
      <c r="G798" s="43"/>
    </row>
    <row r="799">
      <c r="A799" s="31"/>
      <c r="G799" s="43"/>
    </row>
    <row r="800">
      <c r="A800" s="31"/>
      <c r="G800" s="43"/>
    </row>
    <row r="801">
      <c r="A801" s="31"/>
      <c r="G801" s="43"/>
    </row>
    <row r="802">
      <c r="A802" s="31"/>
      <c r="G802" s="43"/>
    </row>
    <row r="803">
      <c r="A803" s="31"/>
      <c r="G803" s="43"/>
    </row>
    <row r="804">
      <c r="A804" s="31"/>
      <c r="G804" s="43"/>
    </row>
    <row r="805">
      <c r="A805" s="31"/>
      <c r="G805" s="43"/>
    </row>
    <row r="806">
      <c r="A806" s="31"/>
      <c r="G806" s="43"/>
    </row>
    <row r="807">
      <c r="A807" s="31"/>
      <c r="G807" s="43"/>
    </row>
    <row r="808">
      <c r="A808" s="31"/>
      <c r="G808" s="43"/>
    </row>
    <row r="809">
      <c r="A809" s="31"/>
      <c r="G809" s="43"/>
    </row>
    <row r="810">
      <c r="A810" s="31"/>
      <c r="G810" s="43"/>
    </row>
    <row r="811">
      <c r="A811" s="31"/>
      <c r="G811" s="43"/>
    </row>
    <row r="812">
      <c r="A812" s="31"/>
      <c r="G812" s="43"/>
    </row>
    <row r="813">
      <c r="A813" s="31"/>
      <c r="G813" s="43"/>
    </row>
    <row r="814">
      <c r="A814" s="31"/>
      <c r="G814" s="43"/>
    </row>
    <row r="815">
      <c r="A815" s="31"/>
      <c r="G815" s="43"/>
    </row>
    <row r="816">
      <c r="A816" s="31"/>
      <c r="G816" s="43"/>
    </row>
    <row r="817">
      <c r="A817" s="31"/>
      <c r="G817" s="43"/>
    </row>
    <row r="818">
      <c r="A818" s="31"/>
      <c r="G818" s="43"/>
    </row>
    <row r="819">
      <c r="A819" s="31"/>
      <c r="G819" s="43"/>
    </row>
    <row r="820">
      <c r="A820" s="31"/>
      <c r="G820" s="43"/>
    </row>
    <row r="821">
      <c r="A821" s="31"/>
      <c r="G821" s="43"/>
    </row>
    <row r="822">
      <c r="A822" s="31"/>
      <c r="G822" s="43"/>
    </row>
    <row r="823">
      <c r="A823" s="31"/>
      <c r="G823" s="43"/>
    </row>
    <row r="824">
      <c r="A824" s="31"/>
      <c r="G824" s="43"/>
    </row>
    <row r="825">
      <c r="A825" s="31"/>
      <c r="G825" s="43"/>
    </row>
    <row r="826">
      <c r="A826" s="31"/>
      <c r="G826" s="43"/>
    </row>
    <row r="827">
      <c r="A827" s="31"/>
      <c r="G827" s="43"/>
    </row>
    <row r="828">
      <c r="A828" s="31"/>
      <c r="G828" s="43"/>
    </row>
    <row r="829">
      <c r="A829" s="31"/>
      <c r="G829" s="43"/>
    </row>
    <row r="830">
      <c r="A830" s="31"/>
      <c r="G830" s="43"/>
    </row>
    <row r="831">
      <c r="A831" s="31"/>
      <c r="G831" s="43"/>
    </row>
    <row r="832">
      <c r="A832" s="31"/>
      <c r="G832" s="43"/>
    </row>
    <row r="833">
      <c r="A833" s="31"/>
      <c r="G833" s="43"/>
    </row>
    <row r="834">
      <c r="A834" s="31"/>
      <c r="G834" s="43"/>
    </row>
    <row r="835">
      <c r="A835" s="31"/>
      <c r="G835" s="43"/>
    </row>
    <row r="836">
      <c r="A836" s="31"/>
      <c r="G836" s="43"/>
    </row>
    <row r="837">
      <c r="A837" s="31"/>
      <c r="G837" s="43"/>
    </row>
    <row r="838">
      <c r="A838" s="31"/>
      <c r="G838" s="43"/>
    </row>
    <row r="839">
      <c r="A839" s="31"/>
      <c r="G839" s="43"/>
    </row>
    <row r="840">
      <c r="A840" s="31"/>
      <c r="G840" s="43"/>
    </row>
    <row r="841">
      <c r="A841" s="31"/>
      <c r="G841" s="43"/>
    </row>
    <row r="842">
      <c r="A842" s="31"/>
      <c r="G842" s="43"/>
    </row>
    <row r="843">
      <c r="A843" s="31"/>
      <c r="G843" s="43"/>
    </row>
    <row r="844">
      <c r="A844" s="31"/>
      <c r="G844" s="43"/>
    </row>
    <row r="845">
      <c r="A845" s="31"/>
      <c r="G845" s="43"/>
    </row>
    <row r="846">
      <c r="A846" s="31"/>
      <c r="G846" s="43"/>
    </row>
    <row r="847">
      <c r="A847" s="31"/>
      <c r="G847" s="43"/>
    </row>
    <row r="848">
      <c r="A848" s="31"/>
      <c r="G848" s="43"/>
    </row>
    <row r="849">
      <c r="A849" s="31"/>
      <c r="G849" s="43"/>
    </row>
    <row r="850">
      <c r="A850" s="31"/>
      <c r="G850" s="43"/>
    </row>
    <row r="851">
      <c r="A851" s="31"/>
      <c r="G851" s="43"/>
    </row>
    <row r="852">
      <c r="A852" s="31"/>
      <c r="G852" s="43"/>
    </row>
    <row r="853">
      <c r="A853" s="31"/>
      <c r="G853" s="43"/>
    </row>
    <row r="854">
      <c r="A854" s="31"/>
      <c r="G854" s="43"/>
    </row>
    <row r="855">
      <c r="A855" s="31"/>
      <c r="G855" s="43"/>
    </row>
    <row r="856">
      <c r="A856" s="31"/>
      <c r="G856" s="43"/>
    </row>
    <row r="857">
      <c r="A857" s="31"/>
      <c r="G857" s="43"/>
    </row>
    <row r="858">
      <c r="A858" s="31"/>
      <c r="G858" s="43"/>
    </row>
    <row r="859">
      <c r="A859" s="31"/>
      <c r="G859" s="43"/>
    </row>
    <row r="860">
      <c r="A860" s="31"/>
      <c r="G860" s="43"/>
    </row>
    <row r="861">
      <c r="A861" s="31"/>
      <c r="G861" s="43"/>
    </row>
    <row r="862">
      <c r="A862" s="31"/>
      <c r="G862" s="43"/>
    </row>
    <row r="863">
      <c r="A863" s="31"/>
      <c r="G863" s="43"/>
    </row>
    <row r="864">
      <c r="A864" s="31"/>
      <c r="G864" s="43"/>
    </row>
    <row r="865">
      <c r="A865" s="31"/>
      <c r="G865" s="43"/>
    </row>
    <row r="866">
      <c r="A866" s="31"/>
      <c r="G866" s="43"/>
    </row>
    <row r="867">
      <c r="A867" s="31"/>
      <c r="G867" s="43"/>
    </row>
    <row r="868">
      <c r="A868" s="31"/>
      <c r="G868" s="43"/>
    </row>
    <row r="869">
      <c r="A869" s="31"/>
      <c r="G869" s="43"/>
    </row>
    <row r="870">
      <c r="A870" s="31"/>
      <c r="G870" s="43"/>
    </row>
    <row r="871">
      <c r="A871" s="31"/>
      <c r="G871" s="43"/>
    </row>
    <row r="872">
      <c r="A872" s="31"/>
      <c r="G872" s="43"/>
    </row>
    <row r="873">
      <c r="A873" s="31"/>
      <c r="G873" s="43"/>
    </row>
    <row r="874">
      <c r="A874" s="31"/>
      <c r="G874" s="43"/>
    </row>
    <row r="875">
      <c r="A875" s="31"/>
      <c r="G875" s="43"/>
    </row>
    <row r="876">
      <c r="A876" s="31"/>
      <c r="G876" s="43"/>
    </row>
    <row r="877">
      <c r="A877" s="31"/>
      <c r="G877" s="43"/>
    </row>
    <row r="878">
      <c r="A878" s="31"/>
      <c r="G878" s="43"/>
    </row>
    <row r="879">
      <c r="A879" s="31"/>
      <c r="G879" s="43"/>
    </row>
    <row r="880">
      <c r="A880" s="31"/>
      <c r="G880" s="43"/>
    </row>
    <row r="881">
      <c r="A881" s="31"/>
      <c r="G881" s="43"/>
    </row>
    <row r="882">
      <c r="A882" s="31"/>
      <c r="G882" s="43"/>
    </row>
    <row r="883">
      <c r="A883" s="31"/>
      <c r="G883" s="43"/>
    </row>
    <row r="884">
      <c r="A884" s="31"/>
      <c r="G884" s="43"/>
    </row>
    <row r="885">
      <c r="A885" s="31"/>
      <c r="G885" s="43"/>
    </row>
    <row r="886">
      <c r="A886" s="31"/>
      <c r="G886" s="43"/>
    </row>
    <row r="887">
      <c r="A887" s="31"/>
      <c r="G887" s="43"/>
    </row>
    <row r="888">
      <c r="A888" s="31"/>
      <c r="G888" s="43"/>
    </row>
    <row r="889">
      <c r="A889" s="31"/>
      <c r="G889" s="43"/>
    </row>
    <row r="890">
      <c r="A890" s="31"/>
      <c r="G890" s="43"/>
    </row>
    <row r="891">
      <c r="A891" s="31"/>
      <c r="G891" s="43"/>
    </row>
    <row r="892">
      <c r="A892" s="31"/>
      <c r="G892" s="43"/>
    </row>
    <row r="893">
      <c r="A893" s="31"/>
      <c r="G893" s="43"/>
    </row>
    <row r="894">
      <c r="A894" s="31"/>
      <c r="G894" s="43"/>
    </row>
    <row r="895">
      <c r="A895" s="31"/>
      <c r="G895" s="43"/>
    </row>
    <row r="896">
      <c r="A896" s="31"/>
      <c r="G896" s="43"/>
    </row>
    <row r="897">
      <c r="A897" s="31"/>
      <c r="G897" s="43"/>
    </row>
    <row r="898">
      <c r="A898" s="31"/>
      <c r="G898" s="43"/>
    </row>
    <row r="899">
      <c r="A899" s="31"/>
      <c r="G899" s="43"/>
    </row>
    <row r="900">
      <c r="A900" s="31"/>
      <c r="G900" s="43"/>
    </row>
    <row r="901">
      <c r="A901" s="31"/>
      <c r="G901" s="43"/>
    </row>
    <row r="902">
      <c r="A902" s="31"/>
      <c r="G902" s="43"/>
    </row>
    <row r="903">
      <c r="A903" s="31"/>
      <c r="G903" s="43"/>
    </row>
    <row r="904">
      <c r="A904" s="31"/>
      <c r="G904" s="43"/>
    </row>
    <row r="905">
      <c r="A905" s="31"/>
      <c r="G905" s="43"/>
    </row>
    <row r="906">
      <c r="A906" s="31"/>
      <c r="G906" s="43"/>
    </row>
    <row r="907">
      <c r="A907" s="31"/>
      <c r="G907" s="43"/>
    </row>
    <row r="908">
      <c r="A908" s="31"/>
      <c r="G908" s="43"/>
    </row>
    <row r="909">
      <c r="A909" s="31"/>
      <c r="G909" s="43"/>
    </row>
    <row r="910">
      <c r="A910" s="31"/>
      <c r="G910" s="43"/>
    </row>
    <row r="911">
      <c r="A911" s="31"/>
      <c r="G911" s="43"/>
    </row>
    <row r="912">
      <c r="A912" s="31"/>
      <c r="G912" s="43"/>
    </row>
    <row r="913">
      <c r="A913" s="31"/>
      <c r="G913" s="43"/>
    </row>
    <row r="914">
      <c r="A914" s="31"/>
      <c r="G914" s="43"/>
    </row>
    <row r="915">
      <c r="A915" s="31"/>
      <c r="G915" s="43"/>
    </row>
    <row r="916">
      <c r="A916" s="31"/>
      <c r="G916" s="43"/>
    </row>
    <row r="917">
      <c r="A917" s="31"/>
      <c r="G917" s="43"/>
    </row>
    <row r="918">
      <c r="A918" s="31"/>
      <c r="G918" s="43"/>
    </row>
    <row r="919">
      <c r="A919" s="31"/>
      <c r="G919" s="43"/>
    </row>
    <row r="920">
      <c r="A920" s="31"/>
      <c r="G920" s="43"/>
    </row>
    <row r="921">
      <c r="A921" s="31"/>
      <c r="G921" s="43"/>
    </row>
    <row r="922">
      <c r="A922" s="31"/>
      <c r="G922" s="43"/>
    </row>
    <row r="923">
      <c r="A923" s="31"/>
      <c r="G923" s="43"/>
    </row>
    <row r="924">
      <c r="A924" s="31"/>
      <c r="G924" s="43"/>
    </row>
    <row r="925">
      <c r="A925" s="31"/>
      <c r="G925" s="43"/>
    </row>
    <row r="926">
      <c r="A926" s="31"/>
      <c r="G926" s="43"/>
    </row>
    <row r="927">
      <c r="A927" s="31"/>
      <c r="G927" s="43"/>
    </row>
    <row r="928">
      <c r="A928" s="31"/>
      <c r="G928" s="43"/>
    </row>
    <row r="929">
      <c r="A929" s="31"/>
      <c r="G929" s="43"/>
    </row>
    <row r="930">
      <c r="A930" s="31"/>
      <c r="G930" s="43"/>
    </row>
    <row r="931">
      <c r="A931" s="31"/>
      <c r="G931" s="43"/>
    </row>
    <row r="932">
      <c r="A932" s="31"/>
      <c r="G932" s="43"/>
    </row>
    <row r="933">
      <c r="A933" s="31"/>
      <c r="G933" s="43"/>
    </row>
    <row r="934">
      <c r="A934" s="31"/>
      <c r="G934" s="43"/>
    </row>
    <row r="935">
      <c r="A935" s="31"/>
      <c r="G935" s="43"/>
    </row>
    <row r="936">
      <c r="A936" s="31"/>
      <c r="G936" s="43"/>
    </row>
    <row r="937">
      <c r="A937" s="31"/>
      <c r="G937" s="43"/>
    </row>
    <row r="938">
      <c r="A938" s="31"/>
      <c r="G938" s="43"/>
    </row>
    <row r="939">
      <c r="A939" s="31"/>
      <c r="G939" s="43"/>
    </row>
    <row r="940">
      <c r="A940" s="31"/>
      <c r="G940" s="43"/>
    </row>
    <row r="941">
      <c r="A941" s="31"/>
      <c r="G941" s="43"/>
    </row>
    <row r="942">
      <c r="A942" s="31"/>
      <c r="G942" s="43"/>
    </row>
    <row r="943">
      <c r="A943" s="31"/>
      <c r="G943" s="43"/>
    </row>
    <row r="944">
      <c r="A944" s="31"/>
      <c r="G944" s="43"/>
    </row>
    <row r="945">
      <c r="A945" s="31"/>
      <c r="G945" s="43"/>
    </row>
    <row r="946">
      <c r="A946" s="31"/>
      <c r="G946" s="43"/>
    </row>
    <row r="947">
      <c r="A947" s="31"/>
      <c r="G947" s="43"/>
    </row>
    <row r="948">
      <c r="A948" s="31"/>
      <c r="G948" s="43"/>
    </row>
    <row r="949">
      <c r="A949" s="31"/>
      <c r="G949" s="43"/>
    </row>
    <row r="950">
      <c r="A950" s="31"/>
      <c r="G950" s="43"/>
    </row>
    <row r="951">
      <c r="A951" s="31"/>
      <c r="G951" s="43"/>
    </row>
    <row r="952">
      <c r="A952" s="31"/>
      <c r="G952" s="43"/>
    </row>
    <row r="953">
      <c r="A953" s="31"/>
      <c r="G953" s="43"/>
    </row>
    <row r="954">
      <c r="A954" s="31"/>
      <c r="G954" s="43"/>
    </row>
    <row r="955">
      <c r="A955" s="31"/>
      <c r="G955" s="43"/>
    </row>
    <row r="956">
      <c r="A956" s="31"/>
      <c r="G956" s="43"/>
    </row>
    <row r="957">
      <c r="A957" s="31"/>
      <c r="G957" s="43"/>
    </row>
    <row r="958">
      <c r="A958" s="31"/>
      <c r="G958" s="43"/>
    </row>
    <row r="959">
      <c r="A959" s="31"/>
      <c r="G959" s="43"/>
    </row>
    <row r="960">
      <c r="A960" s="31"/>
      <c r="G960" s="43"/>
    </row>
    <row r="961">
      <c r="A961" s="31"/>
      <c r="G961" s="43"/>
    </row>
    <row r="962">
      <c r="A962" s="31"/>
      <c r="G962" s="43"/>
    </row>
    <row r="963">
      <c r="A963" s="31"/>
      <c r="G963" s="43"/>
    </row>
    <row r="964">
      <c r="A964" s="31"/>
      <c r="G964" s="43"/>
    </row>
    <row r="965">
      <c r="A965" s="31"/>
      <c r="G965" s="43"/>
    </row>
    <row r="966">
      <c r="A966" s="31"/>
      <c r="G966" s="43"/>
    </row>
    <row r="967">
      <c r="A967" s="31"/>
      <c r="G967" s="43"/>
    </row>
    <row r="968">
      <c r="A968" s="31"/>
      <c r="G968" s="43"/>
    </row>
    <row r="969">
      <c r="A969" s="31"/>
      <c r="G969" s="43"/>
    </row>
    <row r="970">
      <c r="A970" s="31"/>
      <c r="G970" s="43"/>
    </row>
    <row r="971">
      <c r="A971" s="31"/>
      <c r="G971" s="43"/>
    </row>
    <row r="972">
      <c r="A972" s="31"/>
      <c r="G972" s="43"/>
    </row>
    <row r="973">
      <c r="A973" s="31"/>
      <c r="G973" s="43"/>
    </row>
    <row r="974">
      <c r="A974" s="31"/>
      <c r="G974" s="43"/>
    </row>
    <row r="975">
      <c r="A975" s="31"/>
      <c r="G975" s="43"/>
    </row>
    <row r="976">
      <c r="A976" s="31"/>
      <c r="G976" s="43"/>
    </row>
    <row r="977">
      <c r="A977" s="31"/>
      <c r="G977" s="43"/>
    </row>
    <row r="978">
      <c r="A978" s="31"/>
      <c r="G978" s="43"/>
    </row>
    <row r="979">
      <c r="A979" s="31"/>
      <c r="G979" s="43"/>
    </row>
    <row r="980">
      <c r="A980" s="31"/>
      <c r="G980" s="43"/>
    </row>
    <row r="981">
      <c r="A981" s="31"/>
      <c r="G981" s="43"/>
    </row>
    <row r="982">
      <c r="A982" s="31"/>
      <c r="G982" s="43"/>
    </row>
    <row r="983">
      <c r="A983" s="31"/>
      <c r="G983" s="43"/>
    </row>
    <row r="984">
      <c r="A984" s="31"/>
      <c r="G984" s="43"/>
    </row>
    <row r="985">
      <c r="A985" s="31"/>
      <c r="G985" s="43"/>
    </row>
    <row r="986">
      <c r="A986" s="31"/>
      <c r="G986" s="43"/>
    </row>
    <row r="987">
      <c r="A987" s="31"/>
      <c r="G987" s="43"/>
    </row>
    <row r="988">
      <c r="A988" s="31"/>
      <c r="G988" s="43"/>
    </row>
    <row r="989">
      <c r="A989" s="31"/>
      <c r="G989" s="43"/>
    </row>
    <row r="990">
      <c r="A990" s="31"/>
      <c r="G990" s="43"/>
    </row>
    <row r="991">
      <c r="A991" s="31"/>
      <c r="G991" s="43"/>
    </row>
    <row r="992">
      <c r="A992" s="31"/>
      <c r="G992" s="43"/>
    </row>
    <row r="993">
      <c r="A993" s="31"/>
      <c r="G993" s="43"/>
    </row>
    <row r="994">
      <c r="A994" s="31"/>
      <c r="G994" s="43"/>
    </row>
    <row r="995">
      <c r="A995" s="31"/>
      <c r="G995" s="43"/>
    </row>
    <row r="996">
      <c r="A996" s="31"/>
      <c r="G996" s="43"/>
    </row>
    <row r="997">
      <c r="A997" s="31"/>
      <c r="G997" s="43"/>
    </row>
    <row r="998">
      <c r="A998" s="31"/>
      <c r="G998" s="43"/>
    </row>
    <row r="999">
      <c r="A999" s="31"/>
      <c r="G999" s="43"/>
    </row>
    <row r="1000">
      <c r="A1000" s="31"/>
      <c r="G1000" s="43"/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5" width="12.0"/>
    <col customWidth="1" min="6" max="6" width="7.5"/>
    <col customWidth="1" min="7" max="7" width="9.5"/>
    <col customWidth="1" min="8" max="32" width="14.38"/>
  </cols>
  <sheetData>
    <row r="1">
      <c r="A1" s="48" t="s">
        <v>0</v>
      </c>
      <c r="B1" s="48" t="s">
        <v>56</v>
      </c>
      <c r="C1" s="49" t="s">
        <v>57</v>
      </c>
      <c r="D1" s="49" t="s">
        <v>58</v>
      </c>
      <c r="E1" s="49" t="s">
        <v>59</v>
      </c>
      <c r="F1" s="49" t="s">
        <v>60</v>
      </c>
      <c r="G1" s="49" t="s">
        <v>61</v>
      </c>
    </row>
    <row r="2">
      <c r="A2" s="4">
        <v>1.0</v>
      </c>
      <c r="B2" s="4">
        <v>40.0</v>
      </c>
    </row>
    <row r="3">
      <c r="A3" s="4">
        <v>2.0</v>
      </c>
      <c r="B3" s="4">
        <v>320.0</v>
      </c>
      <c r="C3" s="5">
        <f t="shared" ref="C3:C16" si="1">AVERAGE(B2:B4)</f>
        <v>173.3333333</v>
      </c>
      <c r="D3" s="5">
        <f t="shared" ref="D3:D16" si="2">B3/C3</f>
        <v>1.846153846</v>
      </c>
      <c r="E3" s="50">
        <f t="shared" ref="E3:E5" si="3">AVERAGE(D3,D6,D9,D12,D15)</f>
        <v>1.702520243</v>
      </c>
      <c r="F3" s="5">
        <f t="shared" ref="F3:F53" si="4">C3*E3</f>
        <v>295.1035088</v>
      </c>
      <c r="G3" s="5">
        <f t="shared" ref="G3:G17" si="5">ABS(B3-F3)</f>
        <v>24.89649123</v>
      </c>
    </row>
    <row r="4">
      <c r="A4" s="4">
        <v>3.0</v>
      </c>
      <c r="B4" s="4">
        <v>160.0</v>
      </c>
      <c r="C4" s="5">
        <f t="shared" si="1"/>
        <v>186.6666667</v>
      </c>
      <c r="D4" s="5">
        <f t="shared" si="2"/>
        <v>0.8571428571</v>
      </c>
      <c r="E4" s="50">
        <f t="shared" si="3"/>
        <v>0.8789113054</v>
      </c>
      <c r="F4" s="5">
        <f t="shared" si="4"/>
        <v>164.0634437</v>
      </c>
      <c r="G4" s="5">
        <f t="shared" si="5"/>
        <v>4.063443677</v>
      </c>
    </row>
    <row r="5">
      <c r="A5" s="4">
        <v>4.0</v>
      </c>
      <c r="B5" s="4">
        <v>80.0</v>
      </c>
      <c r="C5" s="5">
        <f t="shared" si="1"/>
        <v>200</v>
      </c>
      <c r="D5" s="5">
        <f t="shared" si="2"/>
        <v>0.4</v>
      </c>
      <c r="E5" s="50">
        <f t="shared" si="3"/>
        <v>0.435326087</v>
      </c>
      <c r="F5" s="5">
        <f t="shared" si="4"/>
        <v>87.06521739</v>
      </c>
      <c r="G5" s="5">
        <f t="shared" si="5"/>
        <v>7.065217391</v>
      </c>
    </row>
    <row r="6">
      <c r="A6" s="4">
        <v>5.0</v>
      </c>
      <c r="B6" s="4">
        <v>360.0</v>
      </c>
      <c r="C6" s="5">
        <f t="shared" si="1"/>
        <v>213.3333333</v>
      </c>
      <c r="D6" s="5">
        <f t="shared" si="2"/>
        <v>1.6875</v>
      </c>
      <c r="E6" s="5">
        <v>1.7025202429149797</v>
      </c>
      <c r="F6" s="5">
        <f t="shared" si="4"/>
        <v>363.2043185</v>
      </c>
      <c r="G6" s="5">
        <f t="shared" si="5"/>
        <v>3.204318489</v>
      </c>
    </row>
    <row r="7">
      <c r="A7" s="4">
        <v>6.0</v>
      </c>
      <c r="B7" s="4">
        <v>200.0</v>
      </c>
      <c r="C7" s="5">
        <f t="shared" si="1"/>
        <v>226.6666667</v>
      </c>
      <c r="D7" s="5">
        <f t="shared" si="2"/>
        <v>0.8823529412</v>
      </c>
      <c r="E7" s="5">
        <v>0.8789113054128533</v>
      </c>
      <c r="F7" s="5">
        <f t="shared" si="4"/>
        <v>199.2198959</v>
      </c>
      <c r="G7" s="5">
        <f t="shared" si="5"/>
        <v>0.7801041064</v>
      </c>
    </row>
    <row r="8">
      <c r="A8" s="4">
        <v>7.0</v>
      </c>
      <c r="B8" s="4">
        <v>120.0</v>
      </c>
      <c r="C8" s="5">
        <f t="shared" si="1"/>
        <v>240</v>
      </c>
      <c r="D8" s="5">
        <f t="shared" si="2"/>
        <v>0.5</v>
      </c>
      <c r="E8" s="5">
        <v>0.43532608695652175</v>
      </c>
      <c r="F8" s="5">
        <f t="shared" si="4"/>
        <v>104.4782609</v>
      </c>
      <c r="G8" s="5">
        <f t="shared" si="5"/>
        <v>15.52173913</v>
      </c>
    </row>
    <row r="9">
      <c r="A9" s="4">
        <v>8.0</v>
      </c>
      <c r="B9" s="4">
        <v>400.0</v>
      </c>
      <c r="C9" s="5">
        <f t="shared" si="1"/>
        <v>253.3333333</v>
      </c>
      <c r="D9" s="5">
        <f t="shared" si="2"/>
        <v>1.578947368</v>
      </c>
      <c r="E9" s="5">
        <v>1.7025202429149797</v>
      </c>
      <c r="F9" s="5">
        <f t="shared" si="4"/>
        <v>431.3051282</v>
      </c>
      <c r="G9" s="5">
        <f t="shared" si="5"/>
        <v>31.30512821</v>
      </c>
    </row>
    <row r="10">
      <c r="A10" s="4">
        <v>9.0</v>
      </c>
      <c r="B10" s="4">
        <v>240.0</v>
      </c>
      <c r="C10" s="5">
        <f t="shared" si="1"/>
        <v>253.3333333</v>
      </c>
      <c r="D10" s="5">
        <f t="shared" si="2"/>
        <v>0.9473684211</v>
      </c>
      <c r="E10" s="5">
        <v>0.8789113054128533</v>
      </c>
      <c r="F10" s="5">
        <f t="shared" si="4"/>
        <v>222.6575307</v>
      </c>
      <c r="G10" s="5">
        <f t="shared" si="5"/>
        <v>17.3424693</v>
      </c>
    </row>
    <row r="11">
      <c r="A11" s="4">
        <v>10.0</v>
      </c>
      <c r="B11" s="4">
        <v>120.0</v>
      </c>
      <c r="C11" s="5">
        <f t="shared" si="1"/>
        <v>266.6666667</v>
      </c>
      <c r="D11" s="5">
        <f t="shared" si="2"/>
        <v>0.45</v>
      </c>
      <c r="E11" s="5">
        <v>0.43532608695652175</v>
      </c>
      <c r="F11" s="5">
        <f t="shared" si="4"/>
        <v>116.0869565</v>
      </c>
      <c r="G11" s="5">
        <f t="shared" si="5"/>
        <v>3.913043478</v>
      </c>
    </row>
    <row r="12">
      <c r="A12" s="4">
        <v>11.0</v>
      </c>
      <c r="B12" s="4">
        <v>440.0</v>
      </c>
      <c r="C12" s="5">
        <f t="shared" si="1"/>
        <v>266.6666667</v>
      </c>
      <c r="D12" s="5">
        <f t="shared" si="2"/>
        <v>1.65</v>
      </c>
      <c r="E12" s="5">
        <v>1.7025202429149797</v>
      </c>
      <c r="F12" s="5">
        <f t="shared" si="4"/>
        <v>454.0053981</v>
      </c>
      <c r="G12" s="5">
        <f t="shared" si="5"/>
        <v>14.00539811</v>
      </c>
    </row>
    <row r="13">
      <c r="A13" s="4">
        <v>12.0</v>
      </c>
      <c r="B13" s="4">
        <v>240.0</v>
      </c>
      <c r="C13" s="5">
        <f t="shared" si="1"/>
        <v>266.6666667</v>
      </c>
      <c r="D13" s="5">
        <f t="shared" si="2"/>
        <v>0.9</v>
      </c>
      <c r="E13" s="5">
        <v>0.8789113054128533</v>
      </c>
      <c r="F13" s="5">
        <f t="shared" si="4"/>
        <v>234.3763481</v>
      </c>
      <c r="G13" s="5">
        <f t="shared" si="5"/>
        <v>5.62365189</v>
      </c>
    </row>
    <row r="14">
      <c r="A14" s="4">
        <v>13.0</v>
      </c>
      <c r="B14" s="4">
        <v>120.0</v>
      </c>
      <c r="C14" s="5">
        <f t="shared" si="1"/>
        <v>306.6666667</v>
      </c>
      <c r="D14" s="5">
        <f t="shared" si="2"/>
        <v>0.3913043478</v>
      </c>
      <c r="E14" s="5">
        <v>0.43532608695652175</v>
      </c>
      <c r="F14" s="5">
        <f t="shared" si="4"/>
        <v>133.5</v>
      </c>
      <c r="G14" s="5">
        <f t="shared" si="5"/>
        <v>13.5</v>
      </c>
    </row>
    <row r="15">
      <c r="A15" s="4">
        <v>14.0</v>
      </c>
      <c r="B15" s="4">
        <v>560.0</v>
      </c>
      <c r="C15" s="5">
        <f t="shared" si="1"/>
        <v>320</v>
      </c>
      <c r="D15" s="5">
        <f t="shared" si="2"/>
        <v>1.75</v>
      </c>
      <c r="E15" s="5">
        <v>1.7025202429149797</v>
      </c>
      <c r="F15" s="5">
        <f t="shared" si="4"/>
        <v>544.8064777</v>
      </c>
      <c r="G15" s="5">
        <f t="shared" si="5"/>
        <v>15.19352227</v>
      </c>
    </row>
    <row r="16">
      <c r="A16" s="4">
        <v>15.0</v>
      </c>
      <c r="B16" s="4">
        <v>280.0</v>
      </c>
      <c r="C16" s="5">
        <f t="shared" si="1"/>
        <v>346.6666667</v>
      </c>
      <c r="D16" s="5">
        <f t="shared" si="2"/>
        <v>0.8076923077</v>
      </c>
      <c r="E16" s="5">
        <v>0.8789113054128533</v>
      </c>
      <c r="F16" s="5">
        <f t="shared" si="4"/>
        <v>304.6892525</v>
      </c>
      <c r="G16" s="5">
        <f t="shared" si="5"/>
        <v>24.68925254</v>
      </c>
    </row>
    <row r="17">
      <c r="A17" s="4">
        <v>16.0</v>
      </c>
      <c r="B17" s="4">
        <v>200.0</v>
      </c>
      <c r="C17" s="43">
        <f t="shared" ref="C17:C53" si="6">11.7*A17+175</f>
        <v>362.2</v>
      </c>
      <c r="E17" s="5">
        <v>0.43532608695652175</v>
      </c>
      <c r="F17" s="5">
        <f t="shared" si="4"/>
        <v>157.6751087</v>
      </c>
      <c r="G17" s="5">
        <f t="shared" si="5"/>
        <v>42.3248913</v>
      </c>
    </row>
    <row r="18">
      <c r="A18" s="4">
        <v>17.0</v>
      </c>
      <c r="C18" s="43">
        <f t="shared" si="6"/>
        <v>373.9</v>
      </c>
      <c r="E18" s="5">
        <v>1.7025202429149797</v>
      </c>
      <c r="F18" s="5">
        <f t="shared" si="4"/>
        <v>636.5723188</v>
      </c>
      <c r="G18" s="46">
        <f>AVERAGE(G3:G17)</f>
        <v>14.89524474</v>
      </c>
    </row>
    <row r="19">
      <c r="A19" s="4">
        <v>18.0</v>
      </c>
      <c r="C19" s="43">
        <f t="shared" si="6"/>
        <v>385.6</v>
      </c>
      <c r="E19" s="5">
        <v>0.8789113054128533</v>
      </c>
      <c r="F19" s="5">
        <f t="shared" si="4"/>
        <v>338.9081994</v>
      </c>
      <c r="G19" s="47" t="s">
        <v>55</v>
      </c>
    </row>
    <row r="20">
      <c r="A20" s="4">
        <v>19.0</v>
      </c>
      <c r="C20" s="43">
        <f t="shared" si="6"/>
        <v>397.3</v>
      </c>
      <c r="E20" s="5">
        <v>0.43532608695652175</v>
      </c>
      <c r="F20" s="5">
        <f t="shared" si="4"/>
        <v>172.9550543</v>
      </c>
    </row>
    <row r="21">
      <c r="A21" s="4">
        <v>20.0</v>
      </c>
      <c r="C21" s="43">
        <f t="shared" si="6"/>
        <v>409</v>
      </c>
      <c r="E21" s="5">
        <v>1.7025202429149797</v>
      </c>
      <c r="F21" s="5">
        <f t="shared" si="4"/>
        <v>696.3307794</v>
      </c>
    </row>
    <row r="22">
      <c r="A22" s="4">
        <v>21.0</v>
      </c>
      <c r="C22" s="43">
        <f t="shared" si="6"/>
        <v>420.7</v>
      </c>
      <c r="E22" s="5">
        <v>0.8789113054128533</v>
      </c>
      <c r="F22" s="5">
        <f t="shared" si="4"/>
        <v>369.7579862</v>
      </c>
    </row>
    <row r="23">
      <c r="A23" s="4">
        <v>22.0</v>
      </c>
      <c r="C23" s="43">
        <f t="shared" si="6"/>
        <v>432.4</v>
      </c>
      <c r="E23" s="5">
        <v>0.43532608695652175</v>
      </c>
      <c r="F23" s="5">
        <f t="shared" si="4"/>
        <v>188.235</v>
      </c>
    </row>
    <row r="24">
      <c r="A24" s="4">
        <v>23.0</v>
      </c>
      <c r="C24" s="43">
        <f t="shared" si="6"/>
        <v>444.1</v>
      </c>
      <c r="E24" s="5">
        <v>1.7025202429149797</v>
      </c>
      <c r="F24" s="5">
        <f t="shared" si="4"/>
        <v>756.0892399</v>
      </c>
    </row>
    <row r="25">
      <c r="A25" s="4">
        <v>24.0</v>
      </c>
      <c r="C25" s="43">
        <f t="shared" si="6"/>
        <v>455.8</v>
      </c>
      <c r="E25" s="5">
        <v>0.8789113054128533</v>
      </c>
      <c r="F25" s="5">
        <f t="shared" si="4"/>
        <v>400.607773</v>
      </c>
    </row>
    <row r="26">
      <c r="A26" s="4">
        <v>25.0</v>
      </c>
      <c r="C26" s="43">
        <f t="shared" si="6"/>
        <v>467.5</v>
      </c>
      <c r="E26" s="5">
        <v>0.43532608695652175</v>
      </c>
      <c r="F26" s="5">
        <f t="shared" si="4"/>
        <v>203.5149457</v>
      </c>
    </row>
    <row r="27">
      <c r="A27" s="4">
        <v>26.0</v>
      </c>
      <c r="C27" s="43">
        <f t="shared" si="6"/>
        <v>479.2</v>
      </c>
      <c r="E27" s="5">
        <v>1.7025202429149797</v>
      </c>
      <c r="F27" s="5">
        <f t="shared" si="4"/>
        <v>815.8477004</v>
      </c>
    </row>
    <row r="28">
      <c r="A28" s="4">
        <v>27.0</v>
      </c>
      <c r="C28" s="43">
        <f t="shared" si="6"/>
        <v>490.9</v>
      </c>
      <c r="E28" s="5">
        <v>0.8789113054128533</v>
      </c>
      <c r="F28" s="5">
        <f t="shared" si="4"/>
        <v>431.4575598</v>
      </c>
    </row>
    <row r="29">
      <c r="A29" s="4">
        <v>28.0</v>
      </c>
      <c r="C29" s="43">
        <f t="shared" si="6"/>
        <v>502.6</v>
      </c>
      <c r="E29" s="5">
        <v>0.43532608695652175</v>
      </c>
      <c r="F29" s="5">
        <f t="shared" si="4"/>
        <v>218.7948913</v>
      </c>
    </row>
    <row r="30">
      <c r="A30" s="4">
        <v>29.0</v>
      </c>
      <c r="C30" s="43">
        <f t="shared" si="6"/>
        <v>514.3</v>
      </c>
      <c r="E30" s="5">
        <v>1.7025202429149797</v>
      </c>
      <c r="F30" s="5">
        <f t="shared" si="4"/>
        <v>875.6061609</v>
      </c>
    </row>
    <row r="31">
      <c r="A31" s="4">
        <v>30.0</v>
      </c>
      <c r="C31" s="43">
        <f t="shared" si="6"/>
        <v>526</v>
      </c>
      <c r="E31" s="5">
        <v>0.8789113054128533</v>
      </c>
      <c r="F31" s="5">
        <f t="shared" si="4"/>
        <v>462.3073466</v>
      </c>
    </row>
    <row r="32">
      <c r="A32" s="4">
        <v>31.0</v>
      </c>
      <c r="C32" s="43">
        <f t="shared" si="6"/>
        <v>537.7</v>
      </c>
      <c r="E32" s="5">
        <v>0.43532608695652175</v>
      </c>
      <c r="F32" s="5">
        <f t="shared" si="4"/>
        <v>234.074837</v>
      </c>
    </row>
    <row r="33">
      <c r="A33" s="4">
        <v>32.0</v>
      </c>
      <c r="C33" s="43">
        <f t="shared" si="6"/>
        <v>549.4</v>
      </c>
      <c r="E33" s="5">
        <v>1.7025202429149797</v>
      </c>
      <c r="F33" s="5">
        <f t="shared" si="4"/>
        <v>935.3646215</v>
      </c>
    </row>
    <row r="34">
      <c r="A34" s="4">
        <v>33.0</v>
      </c>
      <c r="C34" s="43">
        <f t="shared" si="6"/>
        <v>561.1</v>
      </c>
      <c r="E34" s="5">
        <v>0.8789113054128533</v>
      </c>
      <c r="F34" s="5">
        <f t="shared" si="4"/>
        <v>493.1571335</v>
      </c>
    </row>
    <row r="35">
      <c r="A35" s="4">
        <v>34.0</v>
      </c>
      <c r="C35" s="43">
        <f t="shared" si="6"/>
        <v>572.8</v>
      </c>
      <c r="E35" s="5">
        <v>0.43532608695652175</v>
      </c>
      <c r="F35" s="5">
        <f t="shared" si="4"/>
        <v>249.3547826</v>
      </c>
    </row>
    <row r="36">
      <c r="A36" s="4">
        <v>35.0</v>
      </c>
      <c r="C36" s="43">
        <f t="shared" si="6"/>
        <v>584.5</v>
      </c>
      <c r="E36" s="5">
        <v>1.7025202429149797</v>
      </c>
      <c r="F36" s="5">
        <f t="shared" si="4"/>
        <v>995.123082</v>
      </c>
    </row>
    <row r="37">
      <c r="A37" s="4">
        <v>36.0</v>
      </c>
      <c r="C37" s="43">
        <f t="shared" si="6"/>
        <v>596.2</v>
      </c>
      <c r="E37" s="5">
        <v>0.8789113054128533</v>
      </c>
      <c r="F37" s="5">
        <f t="shared" si="4"/>
        <v>524.0069203</v>
      </c>
    </row>
    <row r="38">
      <c r="A38" s="4">
        <v>37.0</v>
      </c>
      <c r="C38" s="43">
        <f t="shared" si="6"/>
        <v>607.9</v>
      </c>
      <c r="E38" s="5">
        <v>0.43532608695652175</v>
      </c>
      <c r="F38" s="5">
        <f t="shared" si="4"/>
        <v>264.6347283</v>
      </c>
    </row>
    <row r="39">
      <c r="A39" s="4">
        <v>38.0</v>
      </c>
      <c r="C39" s="43">
        <f t="shared" si="6"/>
        <v>619.6</v>
      </c>
      <c r="E39" s="5">
        <v>1.7025202429149797</v>
      </c>
      <c r="F39" s="5">
        <f t="shared" si="4"/>
        <v>1054.881543</v>
      </c>
    </row>
    <row r="40">
      <c r="A40" s="4">
        <v>39.0</v>
      </c>
      <c r="C40" s="43">
        <f t="shared" si="6"/>
        <v>631.3</v>
      </c>
      <c r="E40" s="5">
        <v>0.8789113054128533</v>
      </c>
      <c r="F40" s="5">
        <f t="shared" si="4"/>
        <v>554.8567071</v>
      </c>
    </row>
    <row r="41">
      <c r="A41" s="4">
        <v>40.0</v>
      </c>
      <c r="C41" s="43">
        <f t="shared" si="6"/>
        <v>643</v>
      </c>
      <c r="E41" s="5">
        <v>0.43532608695652175</v>
      </c>
      <c r="F41" s="5">
        <f t="shared" si="4"/>
        <v>279.9146739</v>
      </c>
    </row>
    <row r="42">
      <c r="A42" s="4">
        <v>41.0</v>
      </c>
      <c r="C42" s="43">
        <f t="shared" si="6"/>
        <v>654.7</v>
      </c>
      <c r="E42" s="5">
        <v>1.7025202429149797</v>
      </c>
      <c r="F42" s="5">
        <f t="shared" si="4"/>
        <v>1114.640003</v>
      </c>
    </row>
    <row r="43">
      <c r="A43" s="4">
        <v>42.0</v>
      </c>
      <c r="C43" s="43">
        <f t="shared" si="6"/>
        <v>666.4</v>
      </c>
      <c r="E43" s="5">
        <v>0.8789113054128533</v>
      </c>
      <c r="F43" s="5">
        <f t="shared" si="4"/>
        <v>585.7064939</v>
      </c>
    </row>
    <row r="44">
      <c r="A44" s="4">
        <v>43.0</v>
      </c>
      <c r="C44" s="43">
        <f t="shared" si="6"/>
        <v>678.1</v>
      </c>
      <c r="E44" s="5">
        <v>0.43532608695652175</v>
      </c>
      <c r="F44" s="5">
        <f t="shared" si="4"/>
        <v>295.1946196</v>
      </c>
    </row>
    <row r="45">
      <c r="A45" s="4">
        <v>44.0</v>
      </c>
      <c r="C45" s="43">
        <f t="shared" si="6"/>
        <v>689.8</v>
      </c>
      <c r="E45" s="5">
        <v>1.7025202429149797</v>
      </c>
      <c r="F45" s="5">
        <f t="shared" si="4"/>
        <v>1174.398464</v>
      </c>
    </row>
    <row r="46">
      <c r="A46" s="4">
        <v>45.0</v>
      </c>
      <c r="C46" s="43">
        <f t="shared" si="6"/>
        <v>701.5</v>
      </c>
      <c r="E46" s="5">
        <v>0.8789113054128533</v>
      </c>
      <c r="F46" s="5">
        <f t="shared" si="4"/>
        <v>616.5562807</v>
      </c>
    </row>
    <row r="47">
      <c r="A47" s="4">
        <v>46.0</v>
      </c>
      <c r="C47" s="43">
        <f t="shared" si="6"/>
        <v>713.2</v>
      </c>
      <c r="E47" s="5">
        <v>0.43532608695652175</v>
      </c>
      <c r="F47" s="5">
        <f t="shared" si="4"/>
        <v>310.4745652</v>
      </c>
    </row>
    <row r="48">
      <c r="A48" s="4">
        <v>47.0</v>
      </c>
      <c r="C48" s="43">
        <f t="shared" si="6"/>
        <v>724.9</v>
      </c>
      <c r="E48" s="5">
        <v>1.7025202429149797</v>
      </c>
      <c r="F48" s="5">
        <f t="shared" si="4"/>
        <v>1234.156924</v>
      </c>
    </row>
    <row r="49">
      <c r="A49" s="4">
        <v>48.0</v>
      </c>
      <c r="C49" s="43">
        <f t="shared" si="6"/>
        <v>736.6</v>
      </c>
      <c r="E49" s="5">
        <v>0.8789113054128533</v>
      </c>
      <c r="F49" s="5">
        <f t="shared" si="4"/>
        <v>647.4060676</v>
      </c>
    </row>
    <row r="50">
      <c r="A50" s="4">
        <v>49.0</v>
      </c>
      <c r="C50" s="43">
        <f t="shared" si="6"/>
        <v>748.3</v>
      </c>
      <c r="E50" s="5">
        <v>0.43532608695652175</v>
      </c>
      <c r="F50" s="5">
        <f t="shared" si="4"/>
        <v>325.7545109</v>
      </c>
    </row>
    <row r="51">
      <c r="A51" s="4">
        <v>50.0</v>
      </c>
      <c r="C51" s="43">
        <f t="shared" si="6"/>
        <v>760</v>
      </c>
      <c r="E51" s="5">
        <v>1.7025202429149797</v>
      </c>
      <c r="F51" s="5">
        <f t="shared" si="4"/>
        <v>1293.915385</v>
      </c>
    </row>
    <row r="52">
      <c r="A52" s="4">
        <v>51.0</v>
      </c>
      <c r="C52" s="43">
        <f t="shared" si="6"/>
        <v>771.7</v>
      </c>
      <c r="E52" s="5">
        <v>0.8789113054128533</v>
      </c>
      <c r="F52" s="5">
        <f t="shared" si="4"/>
        <v>678.2558544</v>
      </c>
    </row>
    <row r="53">
      <c r="A53" s="4">
        <v>52.0</v>
      </c>
      <c r="C53" s="43">
        <f t="shared" si="6"/>
        <v>783.4</v>
      </c>
      <c r="E53" s="5">
        <v>0.43532608695652175</v>
      </c>
      <c r="F53" s="5">
        <f t="shared" si="4"/>
        <v>341.0344565</v>
      </c>
    </row>
    <row r="54">
      <c r="A54" s="4"/>
    </row>
    <row r="55">
      <c r="A55" s="4"/>
    </row>
    <row r="56">
      <c r="A56" s="4"/>
    </row>
    <row r="57">
      <c r="A57" s="4"/>
    </row>
    <row r="58">
      <c r="A58" s="4"/>
    </row>
    <row r="59">
      <c r="A59" s="4"/>
    </row>
    <row r="60">
      <c r="A60" s="4"/>
    </row>
    <row r="61">
      <c r="A61" s="4"/>
    </row>
    <row r="62">
      <c r="A62" s="4"/>
    </row>
    <row r="63">
      <c r="A63" s="4"/>
    </row>
    <row r="64">
      <c r="A64" s="4"/>
    </row>
    <row r="65">
      <c r="A65" s="4"/>
    </row>
    <row r="66">
      <c r="A66" s="4"/>
    </row>
    <row r="67">
      <c r="A67" s="4"/>
    </row>
    <row r="68">
      <c r="A68" s="4"/>
    </row>
    <row r="69">
      <c r="A69" s="4"/>
    </row>
    <row r="70">
      <c r="A70" s="4"/>
    </row>
    <row r="71">
      <c r="A71" s="4"/>
    </row>
    <row r="72">
      <c r="A72" s="4"/>
    </row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/>
    <row r="159"/>
    <row r="160"/>
    <row r="161"/>
    <row r="162"/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  <row r="181"/>
    <row r="182"/>
    <row r="183"/>
    <row r="184"/>
    <row r="185"/>
    <row r="186"/>
    <row r="187"/>
    <row r="188"/>
    <row r="189"/>
    <row r="190"/>
    <row r="191"/>
    <row r="192"/>
    <row r="193"/>
    <row r="194"/>
    <row r="195"/>
    <row r="196"/>
    <row r="197"/>
    <row r="198"/>
    <row r="199"/>
    <row r="200"/>
    <row r="201"/>
    <row r="202"/>
    <row r="203"/>
    <row r="204"/>
    <row r="205"/>
    <row r="206"/>
    <row r="207"/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8.63"/>
    <col customWidth="1" min="2" max="7" width="6.13"/>
    <col customWidth="1" min="8" max="8" width="6.63"/>
    <col customWidth="1" min="9" max="9" width="10.75"/>
    <col customWidth="1" min="10" max="32" width="14.38"/>
  </cols>
  <sheetData>
    <row r="1">
      <c r="A1" s="51" t="s">
        <v>20</v>
      </c>
      <c r="B1" s="52" t="s">
        <v>11</v>
      </c>
      <c r="C1" s="53" t="s">
        <v>62</v>
      </c>
      <c r="D1" s="54" t="s">
        <v>63</v>
      </c>
      <c r="E1" s="54" t="s">
        <v>63</v>
      </c>
      <c r="F1" s="54" t="s">
        <v>64</v>
      </c>
      <c r="G1" s="54" t="s">
        <v>64</v>
      </c>
      <c r="H1" s="54" t="s">
        <v>60</v>
      </c>
      <c r="I1" s="54" t="s">
        <v>61</v>
      </c>
    </row>
    <row r="2">
      <c r="A2" s="55">
        <v>43466.0</v>
      </c>
      <c r="B2" s="56">
        <v>1.0</v>
      </c>
      <c r="C2" s="4">
        <v>2700.0</v>
      </c>
    </row>
    <row r="3">
      <c r="A3" s="57"/>
      <c r="B3" s="58"/>
    </row>
    <row r="4">
      <c r="A4" s="55">
        <v>43497.0</v>
      </c>
      <c r="B4" s="56">
        <v>2.0</v>
      </c>
      <c r="C4" s="4">
        <v>2900.0</v>
      </c>
    </row>
    <row r="5">
      <c r="A5" s="57"/>
      <c r="B5" s="58"/>
    </row>
    <row r="6">
      <c r="A6" s="55">
        <v>43525.0</v>
      </c>
      <c r="B6" s="56">
        <v>3.0</v>
      </c>
      <c r="C6" s="4">
        <v>3000.0</v>
      </c>
    </row>
    <row r="7">
      <c r="A7" s="55"/>
      <c r="B7" s="59"/>
      <c r="C7" s="4"/>
      <c r="D7" s="5">
        <f>AVERAGE(C2,C4,C6,C8,C10,C12)</f>
        <v>2833.333333</v>
      </c>
    </row>
    <row r="8">
      <c r="A8" s="55">
        <v>43556.0</v>
      </c>
      <c r="B8" s="56">
        <v>4.0</v>
      </c>
      <c r="C8" s="4">
        <v>2900.0</v>
      </c>
      <c r="E8" s="5">
        <f>AVERAGE(D7,D9)</f>
        <v>2855.833333</v>
      </c>
      <c r="F8" s="5">
        <f>C8/E8</f>
        <v>1.015465422</v>
      </c>
      <c r="G8" s="50">
        <f>AVERAGE(F8,F20)</f>
        <v>1.015465422</v>
      </c>
      <c r="H8" s="5">
        <f>E8*G8</f>
        <v>2900</v>
      </c>
      <c r="I8" s="5">
        <f>ABS(C8-H8)</f>
        <v>0</v>
      </c>
    </row>
    <row r="9">
      <c r="A9" s="55"/>
      <c r="B9" s="59"/>
      <c r="C9" s="4"/>
      <c r="D9" s="5">
        <f>AVERAGE(C4,C6,C8,C10,C12,C14)</f>
        <v>2878.333333</v>
      </c>
      <c r="G9" s="50"/>
    </row>
    <row r="10">
      <c r="A10" s="55">
        <v>43586.0</v>
      </c>
      <c r="B10" s="56">
        <v>5.0</v>
      </c>
      <c r="C10" s="4">
        <v>2800.0</v>
      </c>
      <c r="E10" s="5">
        <f>AVERAGE(D9,D11)</f>
        <v>2902.5</v>
      </c>
      <c r="F10" s="5">
        <f>C10/E10</f>
        <v>0.9646856158</v>
      </c>
      <c r="G10" s="50">
        <f>AVERAGE(F10,F22)</f>
        <v>0.9646856158</v>
      </c>
      <c r="H10" s="5">
        <f>E10*G10</f>
        <v>2800</v>
      </c>
      <c r="I10" s="5">
        <f>ABS(C10-H10)</f>
        <v>0</v>
      </c>
    </row>
    <row r="11">
      <c r="A11" s="57"/>
      <c r="B11" s="58"/>
      <c r="D11" s="5">
        <f>AVERAGE(C6,C8,C10,C12,C14,C16)</f>
        <v>2926.666667</v>
      </c>
      <c r="G11" s="50"/>
    </row>
    <row r="12">
      <c r="A12" s="55">
        <v>43617.0</v>
      </c>
      <c r="B12" s="56">
        <v>6.0</v>
      </c>
      <c r="C12" s="4">
        <v>2700.0</v>
      </c>
      <c r="E12" s="5">
        <f>AVERAGE(D11,D13)</f>
        <v>2951.666667</v>
      </c>
      <c r="F12" s="5">
        <f>C12/E12</f>
        <v>0.9147374365</v>
      </c>
      <c r="G12" s="50">
        <f>AVERAGE(F12,F24)</f>
        <v>0.9147374365</v>
      </c>
      <c r="H12" s="5">
        <f>E12*G12</f>
        <v>2700</v>
      </c>
      <c r="I12" s="5">
        <f>ABS(C12-H12)</f>
        <v>0</v>
      </c>
    </row>
    <row r="13">
      <c r="A13" s="57"/>
      <c r="B13" s="58"/>
      <c r="D13" s="5">
        <f>AVERAGE(C8,C10,C12,C14,C16,C18)</f>
        <v>2976.666667</v>
      </c>
      <c r="G13" s="50"/>
    </row>
    <row r="14">
      <c r="A14" s="55">
        <v>43647.0</v>
      </c>
      <c r="B14" s="56">
        <v>7.0</v>
      </c>
      <c r="C14" s="4">
        <v>2970.0</v>
      </c>
      <c r="E14" s="5">
        <f>AVERAGE(D13,D15)</f>
        <v>3000.833333</v>
      </c>
      <c r="F14" s="5">
        <f>C14/E14</f>
        <v>0.9897250764</v>
      </c>
      <c r="G14" s="50">
        <f>AVERAGE(F14,F26)</f>
        <v>0.9897250764</v>
      </c>
      <c r="H14" s="5">
        <f>E14*G14</f>
        <v>2970</v>
      </c>
      <c r="I14" s="5">
        <f>ABS(C14-H14)</f>
        <v>0</v>
      </c>
    </row>
    <row r="15">
      <c r="A15" s="57"/>
      <c r="B15" s="58"/>
      <c r="D15" s="5">
        <f>AVERAGE(C10,C12,C14,C16,C18,C20)</f>
        <v>3025</v>
      </c>
      <c r="G15" s="50"/>
    </row>
    <row r="16">
      <c r="A16" s="55">
        <v>43678.0</v>
      </c>
      <c r="B16" s="56">
        <v>8.0</v>
      </c>
      <c r="C16" s="4">
        <v>3190.0</v>
      </c>
      <c r="E16" s="5">
        <f>AVERAGE(D15,D17)</f>
        <v>3048.333333</v>
      </c>
      <c r="F16" s="5">
        <f>C16/E16</f>
        <v>1.046473483</v>
      </c>
      <c r="G16" s="50">
        <f>AVERAGE(F16,F28)</f>
        <v>1.046473483</v>
      </c>
      <c r="H16" s="5">
        <f>E16*G16</f>
        <v>3190</v>
      </c>
      <c r="I16" s="5">
        <f>ABS(C16-H16)</f>
        <v>0</v>
      </c>
    </row>
    <row r="17">
      <c r="A17" s="57"/>
      <c r="B17" s="58"/>
      <c r="D17" s="5">
        <f>AVERAGE(C12,C14,C16,C18,C20,C22)</f>
        <v>3071.666667</v>
      </c>
      <c r="G17" s="50"/>
    </row>
    <row r="18">
      <c r="A18" s="55">
        <v>43709.0</v>
      </c>
      <c r="B18" s="56">
        <v>9.0</v>
      </c>
      <c r="C18" s="4">
        <v>3300.0</v>
      </c>
      <c r="E18" s="5">
        <f>AVERAGE(D17,D19)</f>
        <v>3094.166667</v>
      </c>
      <c r="F18" s="5">
        <f>C18/E18</f>
        <v>1.066523027</v>
      </c>
      <c r="G18" s="50">
        <f>AVERAGE(F18,F30)</f>
        <v>1.066523027</v>
      </c>
      <c r="H18" s="5">
        <f>E18*G18</f>
        <v>3300</v>
      </c>
      <c r="I18" s="5">
        <f>ABS(C18-H18)</f>
        <v>0</v>
      </c>
    </row>
    <row r="19">
      <c r="A19" s="55"/>
      <c r="B19" s="59"/>
      <c r="C19" s="4"/>
      <c r="D19" s="5">
        <f>AVERAGE(C14,C16,C18,C20,C22,C24)</f>
        <v>3116.666667</v>
      </c>
      <c r="G19" s="50"/>
    </row>
    <row r="20">
      <c r="A20" s="55">
        <v>43739.0</v>
      </c>
      <c r="B20" s="56">
        <v>10.0</v>
      </c>
      <c r="C20" s="4">
        <v>3190.0</v>
      </c>
      <c r="E20" s="5">
        <f>AVERAGE(D19,D21)</f>
        <v>3141.416667</v>
      </c>
      <c r="F20" s="5">
        <f>C20/E20</f>
        <v>1.015465422</v>
      </c>
      <c r="G20" s="5">
        <v>1.0154654216515904</v>
      </c>
      <c r="H20" s="5">
        <f>E20*G20</f>
        <v>3190</v>
      </c>
      <c r="I20" s="5">
        <f>ABS(C20-H20)</f>
        <v>0</v>
      </c>
    </row>
    <row r="21">
      <c r="A21" s="57"/>
      <c r="B21" s="58"/>
      <c r="D21" s="5">
        <f>AVERAGE(C16,C18,C20,C22,C24,C26)</f>
        <v>3166.166667</v>
      </c>
    </row>
    <row r="22">
      <c r="A22" s="55">
        <v>43770.0</v>
      </c>
      <c r="B22" s="56">
        <v>11.0</v>
      </c>
      <c r="C22" s="4">
        <v>3080.0</v>
      </c>
      <c r="E22" s="5">
        <f>AVERAGE(D21,D23)</f>
        <v>3192.75</v>
      </c>
      <c r="F22" s="5">
        <f>C22/E22</f>
        <v>0.9646856158</v>
      </c>
      <c r="G22" s="5">
        <v>0.9646856158484065</v>
      </c>
      <c r="H22" s="5">
        <f>E22*G22</f>
        <v>3080</v>
      </c>
      <c r="I22" s="5">
        <f>ABS(C22-H22)</f>
        <v>0</v>
      </c>
    </row>
    <row r="23">
      <c r="A23" s="57"/>
      <c r="B23" s="58"/>
      <c r="D23" s="5">
        <f>AVERAGE(C18,C20,C22,C24,C26,C28)</f>
        <v>3219.333333</v>
      </c>
    </row>
    <row r="24">
      <c r="A24" s="55">
        <v>43800.0</v>
      </c>
      <c r="B24" s="56">
        <v>12.0</v>
      </c>
      <c r="C24" s="4">
        <v>2970.0</v>
      </c>
      <c r="E24" s="5">
        <f>AVERAGE(D23,D25)</f>
        <v>3246.833333</v>
      </c>
      <c r="F24" s="5">
        <f>C24/E24</f>
        <v>0.9147374365</v>
      </c>
      <c r="G24" s="5">
        <v>0.9147374364765669</v>
      </c>
      <c r="H24" s="5">
        <f>E24*G24</f>
        <v>2970</v>
      </c>
      <c r="I24" s="5">
        <f>ABS(C24-H24)</f>
        <v>0</v>
      </c>
    </row>
    <row r="25">
      <c r="A25" s="57"/>
      <c r="B25" s="58"/>
      <c r="D25" s="5">
        <f>AVERAGE(C20,C22,C24,C26,C28,C30)</f>
        <v>3274.333333</v>
      </c>
    </row>
    <row r="26">
      <c r="A26" s="55">
        <v>43831.0</v>
      </c>
      <c r="B26" s="56">
        <v>13.0</v>
      </c>
      <c r="C26" s="4">
        <v>3267.0</v>
      </c>
      <c r="E26" s="5">
        <f>AVERAGE(D25,D27)</f>
        <v>3300.916667</v>
      </c>
      <c r="F26" s="5">
        <f>C26/E26</f>
        <v>0.9897250764</v>
      </c>
      <c r="G26" s="5">
        <v>0.9897250763676757</v>
      </c>
      <c r="H26" s="5">
        <f>E26*G26</f>
        <v>3267</v>
      </c>
      <c r="I26" s="5">
        <f>ABS(C26-H26)</f>
        <v>0</v>
      </c>
    </row>
    <row r="27">
      <c r="A27" s="57"/>
      <c r="B27" s="58"/>
      <c r="D27" s="5">
        <f>AVERAGE(C22,C24,C26,C28,C30,C32)</f>
        <v>3327.5</v>
      </c>
    </row>
    <row r="28">
      <c r="A28" s="55">
        <v>43862.0</v>
      </c>
      <c r="B28" s="56">
        <v>14.0</v>
      </c>
      <c r="C28" s="4">
        <v>3509.0</v>
      </c>
      <c r="E28" s="5">
        <f>AVERAGE(D27,D29)</f>
        <v>3353.166667</v>
      </c>
      <c r="F28" s="5">
        <f>C28/E28</f>
        <v>1.046473483</v>
      </c>
      <c r="G28" s="5">
        <v>1.0464734827774742</v>
      </c>
      <c r="H28" s="5">
        <f>E28*G28</f>
        <v>3509</v>
      </c>
      <c r="I28" s="5">
        <f>ABS(C28-H28)</f>
        <v>0</v>
      </c>
    </row>
    <row r="29">
      <c r="A29" s="57"/>
      <c r="B29" s="58"/>
      <c r="D29" s="5">
        <f>AVERAGE(C24,C26,C28,C30,C32,C34)</f>
        <v>3378.833333</v>
      </c>
    </row>
    <row r="30">
      <c r="A30" s="55">
        <v>43891.0</v>
      </c>
      <c r="B30" s="56">
        <v>15.0</v>
      </c>
      <c r="C30" s="4">
        <v>3630.0</v>
      </c>
      <c r="E30" s="5">
        <f>AVERAGE(D29,D31)</f>
        <v>3403.583333</v>
      </c>
      <c r="F30" s="5">
        <f>C30/E30</f>
        <v>1.066523027</v>
      </c>
      <c r="G30" s="5">
        <v>1.0665230272017237</v>
      </c>
      <c r="H30" s="5">
        <f>E30*G30</f>
        <v>3630</v>
      </c>
      <c r="I30" s="5">
        <f>ABS(C30-H30)</f>
        <v>0</v>
      </c>
    </row>
    <row r="31">
      <c r="A31" s="55"/>
      <c r="B31" s="59"/>
      <c r="C31" s="4"/>
      <c r="D31" s="5">
        <f>AVERAGE(C26,C28,C30,C32,C34,C36)</f>
        <v>3428.333333</v>
      </c>
    </row>
    <row r="32">
      <c r="A32" s="55">
        <v>43922.0</v>
      </c>
      <c r="B32" s="56">
        <v>16.0</v>
      </c>
      <c r="C32" s="4">
        <v>3509.0</v>
      </c>
      <c r="E32" s="58">
        <f>49.8*B32+2851</f>
        <v>3647.8</v>
      </c>
      <c r="G32" s="5">
        <v>1.0154654216515904</v>
      </c>
      <c r="H32" s="5">
        <f>E32*G32</f>
        <v>3704.214765</v>
      </c>
      <c r="I32" s="5">
        <f>ABS(C32-H32)</f>
        <v>195.2147651</v>
      </c>
    </row>
    <row r="33">
      <c r="A33" s="57"/>
      <c r="B33" s="58"/>
      <c r="E33" s="58"/>
    </row>
    <row r="34">
      <c r="A34" s="55">
        <v>43952.0</v>
      </c>
      <c r="B34" s="56">
        <v>17.0</v>
      </c>
      <c r="C34" s="4">
        <v>3388.0</v>
      </c>
      <c r="E34" s="58">
        <f>49.8*B34+2851</f>
        <v>3697.6</v>
      </c>
      <c r="G34" s="5">
        <v>0.9646856158484065</v>
      </c>
      <c r="H34" s="5">
        <f>E34*G34</f>
        <v>3567.021533</v>
      </c>
      <c r="I34" s="5">
        <f>ABS(C34-H34)</f>
        <v>179.0215332</v>
      </c>
    </row>
    <row r="35">
      <c r="A35" s="57"/>
      <c r="B35" s="58"/>
      <c r="E35" s="58"/>
    </row>
    <row r="36">
      <c r="A36" s="55">
        <v>43983.0</v>
      </c>
      <c r="B36" s="56">
        <v>18.0</v>
      </c>
      <c r="C36" s="4">
        <v>3267.0</v>
      </c>
      <c r="E36" s="58">
        <f>49.8*B36+2851</f>
        <v>3747.4</v>
      </c>
      <c r="G36" s="5">
        <v>0.9147374364765669</v>
      </c>
      <c r="H36" s="5">
        <f>E36*G36</f>
        <v>3427.887069</v>
      </c>
      <c r="I36" s="5">
        <f>ABS(C36-H36)</f>
        <v>160.8870695</v>
      </c>
    </row>
    <row r="37">
      <c r="A37" s="55"/>
      <c r="B37" s="58"/>
      <c r="E37" s="58"/>
      <c r="I37" s="46">
        <f>AVERAGE(I8,I10,I12,I14,I16,I18,I20,I22,I24,I26,I28,I30,I32,I34,I36)</f>
        <v>35.67489118</v>
      </c>
    </row>
    <row r="38">
      <c r="A38" s="60">
        <v>44013.0</v>
      </c>
      <c r="B38" s="61">
        <v>19.0</v>
      </c>
      <c r="E38" s="58">
        <f>49.8*B38+2851</f>
        <v>3797.2</v>
      </c>
      <c r="G38" s="5">
        <v>0.9897250763676757</v>
      </c>
      <c r="H38" s="5">
        <f>E38*G38</f>
        <v>3758.18406</v>
      </c>
      <c r="I38" s="47" t="s">
        <v>65</v>
      </c>
    </row>
    <row r="39">
      <c r="A39" s="55"/>
      <c r="B39" s="58"/>
      <c r="E39" s="58"/>
    </row>
    <row r="40">
      <c r="A40" s="60">
        <v>44044.0</v>
      </c>
      <c r="B40" s="61">
        <v>20.0</v>
      </c>
      <c r="E40" s="58">
        <f>49.8*B40+2851</f>
        <v>3847</v>
      </c>
      <c r="G40" s="5">
        <v>1.0464734827774742</v>
      </c>
      <c r="H40" s="5">
        <f>E40*G40</f>
        <v>4025.783488</v>
      </c>
    </row>
    <row r="41">
      <c r="A41" s="55"/>
      <c r="B41" s="58"/>
      <c r="E41" s="58"/>
    </row>
    <row r="42">
      <c r="A42" s="62">
        <v>44075.0</v>
      </c>
      <c r="B42" s="61">
        <v>21.0</v>
      </c>
      <c r="E42" s="58">
        <f>49.8*B42+2851</f>
        <v>3896.8</v>
      </c>
      <c r="G42" s="5">
        <v>1.0665230272017237</v>
      </c>
      <c r="H42" s="5">
        <f>E42*G42</f>
        <v>4156.026932</v>
      </c>
    </row>
    <row r="43">
      <c r="A43" s="55"/>
      <c r="B43" s="58"/>
      <c r="E43" s="58"/>
    </row>
    <row r="44">
      <c r="A44" s="62">
        <v>44105.0</v>
      </c>
      <c r="B44" s="61">
        <v>22.0</v>
      </c>
      <c r="E44" s="58">
        <f>49.8*B44+2851</f>
        <v>3946.6</v>
      </c>
      <c r="G44" s="5">
        <v>1.0154654216515904</v>
      </c>
      <c r="H44" s="5">
        <f>E44*G44</f>
        <v>4007.635833</v>
      </c>
    </row>
    <row r="45">
      <c r="A45" s="55"/>
      <c r="B45" s="58"/>
      <c r="E45" s="58"/>
    </row>
    <row r="46">
      <c r="A46" s="60">
        <v>44136.0</v>
      </c>
      <c r="B46" s="61">
        <v>23.0</v>
      </c>
      <c r="E46" s="58">
        <f>49.8*B46+2851</f>
        <v>3996.4</v>
      </c>
      <c r="G46" s="5">
        <v>0.9646856158484065</v>
      </c>
      <c r="H46" s="5">
        <f>E46*G46</f>
        <v>3855.269595</v>
      </c>
    </row>
    <row r="47">
      <c r="A47" s="55"/>
      <c r="B47" s="58"/>
      <c r="E47" s="58"/>
    </row>
    <row r="48">
      <c r="A48" s="60">
        <v>44166.0</v>
      </c>
      <c r="B48" s="61">
        <v>24.0</v>
      </c>
      <c r="E48" s="58">
        <f>49.8*B48+2851</f>
        <v>4046.2</v>
      </c>
      <c r="G48" s="5">
        <v>0.9147374364765669</v>
      </c>
      <c r="H48" s="5">
        <f>E48*G48</f>
        <v>3701.210615</v>
      </c>
    </row>
    <row r="49">
      <c r="A49" s="55"/>
      <c r="B49" s="58"/>
      <c r="E49" s="58"/>
    </row>
    <row r="50">
      <c r="A50" s="60">
        <v>44197.0</v>
      </c>
      <c r="B50" s="61">
        <v>25.0</v>
      </c>
      <c r="E50" s="58">
        <f>49.8*B50+2851</f>
        <v>4096</v>
      </c>
      <c r="G50" s="5">
        <v>0.9897250763676757</v>
      </c>
      <c r="H50" s="5">
        <f>E50*G50</f>
        <v>4053.913913</v>
      </c>
    </row>
    <row r="51">
      <c r="A51" s="55"/>
      <c r="B51" s="58"/>
      <c r="E51" s="58"/>
    </row>
    <row r="52">
      <c r="A52" s="60">
        <v>44228.0</v>
      </c>
      <c r="B52" s="61">
        <v>26.0</v>
      </c>
      <c r="E52" s="58">
        <f>49.8*B52+2851</f>
        <v>4145.8</v>
      </c>
      <c r="G52" s="5">
        <v>1.0464734827774742</v>
      </c>
      <c r="H52" s="5">
        <f>E52*G52</f>
        <v>4338.469765</v>
      </c>
    </row>
    <row r="53">
      <c r="A53" s="55"/>
      <c r="B53" s="58"/>
      <c r="E53" s="58"/>
    </row>
    <row r="54">
      <c r="A54" s="62">
        <v>44256.0</v>
      </c>
      <c r="B54" s="61">
        <v>27.0</v>
      </c>
      <c r="E54" s="58">
        <f>49.8*B54+2851</f>
        <v>4195.6</v>
      </c>
      <c r="G54" s="5">
        <v>1.0665230272017237</v>
      </c>
      <c r="H54" s="5">
        <f>E54*G54</f>
        <v>4474.704013</v>
      </c>
    </row>
    <row r="55">
      <c r="A55" s="55"/>
      <c r="B55" s="58"/>
    </row>
    <row r="56">
      <c r="A56" s="57"/>
      <c r="B56" s="58"/>
    </row>
    <row r="57">
      <c r="A57" s="55"/>
      <c r="B57" s="58"/>
    </row>
    <row r="58">
      <c r="A58" s="57"/>
      <c r="B58" s="58"/>
    </row>
    <row r="59">
      <c r="A59" s="55"/>
      <c r="B59" s="58"/>
    </row>
    <row r="60">
      <c r="A60" s="57"/>
      <c r="B60" s="58"/>
    </row>
    <row r="61">
      <c r="A61" s="55"/>
      <c r="B61" s="58"/>
    </row>
    <row r="62">
      <c r="A62" s="57"/>
      <c r="B62" s="58"/>
    </row>
    <row r="63">
      <c r="A63" s="57"/>
      <c r="B63" s="58"/>
    </row>
    <row r="64">
      <c r="A64" s="57"/>
      <c r="B64" s="58"/>
    </row>
    <row r="65">
      <c r="A65" s="57"/>
      <c r="B65" s="58"/>
    </row>
    <row r="66">
      <c r="A66" s="57"/>
      <c r="B66" s="58"/>
    </row>
    <row r="67">
      <c r="A67" s="57"/>
      <c r="B67" s="58"/>
    </row>
    <row r="68">
      <c r="A68" s="57"/>
      <c r="B68" s="58"/>
    </row>
    <row r="69">
      <c r="A69" s="57"/>
      <c r="B69" s="58"/>
    </row>
    <row r="70">
      <c r="A70" s="57"/>
      <c r="B70" s="58"/>
    </row>
    <row r="71">
      <c r="A71" s="57"/>
      <c r="B71" s="58"/>
    </row>
    <row r="72">
      <c r="A72" s="57"/>
      <c r="B72" s="58"/>
    </row>
    <row r="73">
      <c r="A73" s="57"/>
      <c r="B73" s="58"/>
    </row>
    <row r="74">
      <c r="A74" s="57"/>
      <c r="B74" s="58"/>
    </row>
    <row r="75">
      <c r="A75" s="57"/>
      <c r="B75" s="58"/>
    </row>
    <row r="76">
      <c r="A76" s="57"/>
      <c r="B76" s="58"/>
    </row>
    <row r="77">
      <c r="A77" s="57"/>
      <c r="B77" s="58"/>
    </row>
    <row r="78">
      <c r="A78" s="57"/>
      <c r="B78" s="58"/>
    </row>
    <row r="79">
      <c r="A79" s="57"/>
      <c r="B79" s="58"/>
    </row>
    <row r="80">
      <c r="A80" s="57"/>
      <c r="B80" s="58"/>
    </row>
    <row r="81">
      <c r="A81" s="57"/>
      <c r="B81" s="58"/>
    </row>
    <row r="82">
      <c r="A82" s="57"/>
      <c r="B82" s="58"/>
    </row>
    <row r="83">
      <c r="A83" s="57"/>
      <c r="B83" s="58"/>
    </row>
    <row r="84">
      <c r="A84" s="57"/>
      <c r="B84" s="58"/>
    </row>
    <row r="85">
      <c r="A85" s="57"/>
      <c r="B85" s="58"/>
    </row>
    <row r="86">
      <c r="A86" s="57"/>
      <c r="B86" s="58"/>
    </row>
    <row r="87">
      <c r="A87" s="57"/>
      <c r="B87" s="58"/>
    </row>
    <row r="88">
      <c r="A88" s="57"/>
      <c r="B88" s="58"/>
    </row>
    <row r="89">
      <c r="A89" s="57"/>
      <c r="B89" s="58"/>
    </row>
    <row r="90">
      <c r="A90" s="57"/>
      <c r="B90" s="58"/>
    </row>
    <row r="91">
      <c r="A91" s="57"/>
      <c r="B91" s="58"/>
    </row>
    <row r="92">
      <c r="A92" s="57"/>
      <c r="B92" s="58"/>
    </row>
    <row r="93">
      <c r="A93" s="57"/>
      <c r="B93" s="58"/>
    </row>
    <row r="94">
      <c r="A94" s="57"/>
      <c r="B94" s="58"/>
    </row>
    <row r="95">
      <c r="A95" s="57"/>
      <c r="B95" s="58"/>
    </row>
    <row r="96">
      <c r="A96" s="57"/>
      <c r="B96" s="58"/>
    </row>
    <row r="97">
      <c r="A97" s="57"/>
      <c r="B97" s="58"/>
    </row>
    <row r="98">
      <c r="A98" s="57"/>
      <c r="B98" s="58"/>
    </row>
    <row r="99">
      <c r="A99" s="57"/>
      <c r="B99" s="58"/>
    </row>
    <row r="100">
      <c r="A100" s="57"/>
      <c r="B100" s="58"/>
    </row>
    <row r="101">
      <c r="A101" s="57"/>
      <c r="B101" s="58"/>
    </row>
    <row r="102">
      <c r="A102" s="57"/>
      <c r="B102" s="58"/>
    </row>
    <row r="103">
      <c r="A103" s="57"/>
      <c r="B103" s="58"/>
    </row>
    <row r="104">
      <c r="A104" s="57"/>
      <c r="B104" s="58"/>
    </row>
    <row r="105">
      <c r="A105" s="57"/>
      <c r="B105" s="58"/>
    </row>
    <row r="106">
      <c r="A106" s="57"/>
      <c r="B106" s="58"/>
    </row>
    <row r="107">
      <c r="A107" s="57"/>
      <c r="B107" s="58"/>
    </row>
    <row r="108">
      <c r="A108" s="57"/>
      <c r="B108" s="58"/>
    </row>
    <row r="109">
      <c r="A109" s="57"/>
      <c r="B109" s="58"/>
    </row>
    <row r="110">
      <c r="A110" s="57"/>
      <c r="B110" s="58"/>
    </row>
    <row r="111">
      <c r="A111" s="57"/>
      <c r="B111" s="58"/>
    </row>
    <row r="112">
      <c r="A112" s="57"/>
      <c r="B112" s="58"/>
    </row>
    <row r="113">
      <c r="A113" s="57"/>
      <c r="B113" s="58"/>
    </row>
    <row r="114">
      <c r="A114" s="57"/>
      <c r="B114" s="58"/>
    </row>
    <row r="115">
      <c r="A115" s="57"/>
      <c r="B115" s="58"/>
    </row>
    <row r="116">
      <c r="A116" s="57"/>
      <c r="B116" s="58"/>
    </row>
    <row r="117">
      <c r="A117" s="57"/>
      <c r="B117" s="58"/>
    </row>
    <row r="118">
      <c r="A118" s="57"/>
      <c r="B118" s="58"/>
    </row>
    <row r="119">
      <c r="A119" s="57"/>
      <c r="B119" s="58"/>
    </row>
    <row r="120">
      <c r="A120" s="57"/>
      <c r="B120" s="58"/>
    </row>
    <row r="121">
      <c r="A121" s="57"/>
      <c r="B121" s="58"/>
    </row>
    <row r="122">
      <c r="A122" s="57"/>
      <c r="B122" s="58"/>
    </row>
    <row r="123">
      <c r="A123" s="57"/>
      <c r="B123" s="58"/>
    </row>
    <row r="124">
      <c r="A124" s="57"/>
      <c r="B124" s="58"/>
    </row>
    <row r="125">
      <c r="A125" s="57"/>
      <c r="B125" s="58"/>
    </row>
    <row r="126">
      <c r="A126" s="57"/>
      <c r="B126" s="58"/>
    </row>
    <row r="127">
      <c r="A127" s="57"/>
      <c r="B127" s="58"/>
    </row>
    <row r="128">
      <c r="A128" s="57"/>
      <c r="B128" s="58"/>
    </row>
    <row r="129">
      <c r="A129" s="57"/>
      <c r="B129" s="58"/>
    </row>
    <row r="130">
      <c r="A130" s="57"/>
      <c r="B130" s="58"/>
    </row>
    <row r="131">
      <c r="A131" s="57"/>
      <c r="B131" s="58"/>
    </row>
    <row r="132">
      <c r="A132" s="57"/>
      <c r="B132" s="58"/>
    </row>
    <row r="133">
      <c r="A133" s="57"/>
      <c r="B133" s="58"/>
    </row>
    <row r="134">
      <c r="A134" s="57"/>
      <c r="B134" s="58"/>
    </row>
    <row r="135">
      <c r="A135" s="57"/>
      <c r="B135" s="58"/>
    </row>
    <row r="136">
      <c r="A136" s="57"/>
      <c r="B136" s="58"/>
    </row>
    <row r="137">
      <c r="A137" s="57"/>
      <c r="B137" s="58"/>
    </row>
    <row r="138">
      <c r="A138" s="57"/>
      <c r="B138" s="58"/>
    </row>
    <row r="139">
      <c r="A139" s="57"/>
      <c r="B139" s="58"/>
    </row>
    <row r="140">
      <c r="A140" s="57"/>
      <c r="B140" s="58"/>
    </row>
    <row r="141">
      <c r="A141" s="57"/>
      <c r="B141" s="58"/>
    </row>
    <row r="142">
      <c r="A142" s="57"/>
      <c r="B142" s="58"/>
    </row>
    <row r="143">
      <c r="A143" s="57"/>
      <c r="B143" s="58"/>
    </row>
    <row r="144">
      <c r="A144" s="57"/>
      <c r="B144" s="58"/>
    </row>
    <row r="145">
      <c r="A145" s="57"/>
      <c r="B145" s="58"/>
    </row>
    <row r="146">
      <c r="A146" s="57"/>
      <c r="B146" s="58"/>
    </row>
    <row r="147">
      <c r="A147" s="57"/>
      <c r="B147" s="58"/>
    </row>
    <row r="148">
      <c r="A148" s="57"/>
      <c r="B148" s="58"/>
    </row>
    <row r="149">
      <c r="A149" s="57"/>
      <c r="B149" s="58"/>
    </row>
    <row r="150">
      <c r="A150" s="57"/>
      <c r="B150" s="58"/>
    </row>
    <row r="151">
      <c r="A151" s="57"/>
      <c r="B151" s="58"/>
    </row>
    <row r="152">
      <c r="A152" s="57"/>
      <c r="B152" s="58"/>
    </row>
    <row r="153">
      <c r="A153" s="57"/>
      <c r="B153" s="58"/>
    </row>
    <row r="154">
      <c r="A154" s="57"/>
      <c r="B154" s="58"/>
    </row>
    <row r="155">
      <c r="A155" s="57"/>
      <c r="B155" s="58"/>
    </row>
    <row r="156">
      <c r="A156" s="57"/>
      <c r="B156" s="58"/>
    </row>
    <row r="157">
      <c r="A157" s="57"/>
      <c r="B157" s="58"/>
    </row>
    <row r="158">
      <c r="A158" s="57"/>
      <c r="B158" s="58"/>
    </row>
    <row r="159">
      <c r="A159" s="57"/>
      <c r="B159" s="58"/>
    </row>
    <row r="160">
      <c r="A160" s="57"/>
      <c r="B160" s="58"/>
    </row>
    <row r="161">
      <c r="A161" s="57"/>
      <c r="B161" s="58"/>
    </row>
    <row r="162">
      <c r="A162" s="57"/>
      <c r="B162" s="58"/>
    </row>
    <row r="163">
      <c r="A163" s="57"/>
      <c r="B163" s="58"/>
    </row>
    <row r="164">
      <c r="A164" s="57"/>
      <c r="B164" s="58"/>
    </row>
    <row r="165">
      <c r="A165" s="57"/>
      <c r="B165" s="58"/>
    </row>
    <row r="166">
      <c r="A166" s="57"/>
      <c r="B166" s="58"/>
    </row>
    <row r="167">
      <c r="A167" s="57"/>
      <c r="B167" s="58"/>
    </row>
    <row r="168">
      <c r="A168" s="57"/>
      <c r="B168" s="58"/>
    </row>
    <row r="169">
      <c r="A169" s="57"/>
      <c r="B169" s="58"/>
    </row>
    <row r="170">
      <c r="A170" s="57"/>
      <c r="B170" s="58"/>
    </row>
    <row r="171">
      <c r="A171" s="57"/>
      <c r="B171" s="58"/>
    </row>
    <row r="172">
      <c r="A172" s="57"/>
      <c r="B172" s="58"/>
    </row>
    <row r="173">
      <c r="A173" s="57"/>
      <c r="B173" s="58"/>
    </row>
    <row r="174">
      <c r="A174" s="57"/>
      <c r="B174" s="58"/>
    </row>
    <row r="175">
      <c r="A175" s="57"/>
      <c r="B175" s="58"/>
    </row>
    <row r="176">
      <c r="A176" s="57"/>
      <c r="B176" s="58"/>
    </row>
    <row r="177">
      <c r="A177" s="57"/>
      <c r="B177" s="58"/>
    </row>
    <row r="178">
      <c r="A178" s="57"/>
      <c r="B178" s="58"/>
    </row>
    <row r="179">
      <c r="A179" s="57"/>
      <c r="B179" s="58"/>
    </row>
    <row r="180">
      <c r="A180" s="57"/>
      <c r="B180" s="58"/>
    </row>
    <row r="181">
      <c r="A181" s="57"/>
      <c r="B181" s="58"/>
    </row>
    <row r="182">
      <c r="A182" s="57"/>
      <c r="B182" s="58"/>
    </row>
    <row r="183">
      <c r="A183" s="57"/>
      <c r="B183" s="58"/>
    </row>
    <row r="184">
      <c r="A184" s="57"/>
      <c r="B184" s="58"/>
    </row>
    <row r="185">
      <c r="A185" s="57"/>
      <c r="B185" s="58"/>
    </row>
    <row r="186">
      <c r="A186" s="57"/>
      <c r="B186" s="58"/>
    </row>
    <row r="187">
      <c r="A187" s="57"/>
      <c r="B187" s="58"/>
    </row>
    <row r="188">
      <c r="A188" s="57"/>
      <c r="B188" s="58"/>
    </row>
    <row r="189">
      <c r="A189" s="57"/>
      <c r="B189" s="58"/>
    </row>
    <row r="190">
      <c r="A190" s="57"/>
      <c r="B190" s="58"/>
    </row>
    <row r="191">
      <c r="A191" s="57"/>
      <c r="B191" s="58"/>
    </row>
    <row r="192">
      <c r="A192" s="57"/>
      <c r="B192" s="58"/>
    </row>
    <row r="193">
      <c r="A193" s="57"/>
      <c r="B193" s="58"/>
    </row>
    <row r="194">
      <c r="A194" s="57"/>
      <c r="B194" s="58"/>
    </row>
    <row r="195">
      <c r="A195" s="57"/>
      <c r="B195" s="58"/>
    </row>
    <row r="196">
      <c r="A196" s="57"/>
      <c r="B196" s="58"/>
    </row>
    <row r="197">
      <c r="A197" s="57"/>
      <c r="B197" s="58"/>
    </row>
    <row r="198">
      <c r="A198" s="57"/>
      <c r="B198" s="58"/>
    </row>
    <row r="199">
      <c r="A199" s="57"/>
      <c r="B199" s="58"/>
    </row>
    <row r="200">
      <c r="A200" s="57"/>
      <c r="B200" s="58"/>
    </row>
    <row r="201">
      <c r="A201" s="57"/>
      <c r="B201" s="58"/>
    </row>
    <row r="202">
      <c r="A202" s="57"/>
      <c r="B202" s="58"/>
    </row>
    <row r="203">
      <c r="A203" s="57"/>
      <c r="B203" s="58"/>
    </row>
    <row r="204">
      <c r="A204" s="57"/>
      <c r="B204" s="58"/>
    </row>
    <row r="205">
      <c r="A205" s="57"/>
      <c r="B205" s="58"/>
    </row>
    <row r="206">
      <c r="A206" s="57"/>
      <c r="B206" s="58"/>
    </row>
    <row r="207">
      <c r="A207" s="57"/>
      <c r="B207" s="58"/>
    </row>
    <row r="208">
      <c r="A208" s="57"/>
      <c r="B208" s="58"/>
    </row>
    <row r="209">
      <c r="A209" s="57"/>
      <c r="B209" s="58"/>
    </row>
    <row r="210">
      <c r="A210" s="57"/>
      <c r="B210" s="58"/>
    </row>
    <row r="211">
      <c r="A211" s="57"/>
      <c r="B211" s="58"/>
    </row>
    <row r="212">
      <c r="A212" s="57"/>
      <c r="B212" s="58"/>
    </row>
    <row r="213">
      <c r="A213" s="57"/>
      <c r="B213" s="58"/>
    </row>
    <row r="214">
      <c r="A214" s="57"/>
      <c r="B214" s="58"/>
    </row>
    <row r="215">
      <c r="A215" s="57"/>
      <c r="B215" s="58"/>
    </row>
    <row r="216">
      <c r="A216" s="57"/>
      <c r="B216" s="58"/>
    </row>
    <row r="217">
      <c r="A217" s="57"/>
      <c r="B217" s="58"/>
    </row>
    <row r="218">
      <c r="A218" s="57"/>
      <c r="B218" s="58"/>
    </row>
    <row r="219">
      <c r="A219" s="57"/>
      <c r="B219" s="58"/>
    </row>
    <row r="220">
      <c r="A220" s="57"/>
      <c r="B220" s="58"/>
    </row>
    <row r="221">
      <c r="A221" s="57"/>
      <c r="B221" s="58"/>
    </row>
    <row r="222">
      <c r="A222" s="57"/>
      <c r="B222" s="58"/>
    </row>
    <row r="223">
      <c r="A223" s="57"/>
      <c r="B223" s="58"/>
    </row>
    <row r="224">
      <c r="A224" s="57"/>
      <c r="B224" s="58"/>
    </row>
    <row r="225">
      <c r="A225" s="57"/>
      <c r="B225" s="58"/>
    </row>
    <row r="226">
      <c r="A226" s="57"/>
      <c r="B226" s="58"/>
    </row>
    <row r="227">
      <c r="A227" s="57"/>
      <c r="B227" s="58"/>
    </row>
    <row r="228">
      <c r="A228" s="57"/>
      <c r="B228" s="58"/>
    </row>
    <row r="229">
      <c r="A229" s="57"/>
      <c r="B229" s="58"/>
    </row>
    <row r="230">
      <c r="A230" s="57"/>
      <c r="B230" s="58"/>
    </row>
    <row r="231">
      <c r="A231" s="57"/>
      <c r="B231" s="58"/>
    </row>
    <row r="232">
      <c r="A232" s="57"/>
      <c r="B232" s="58"/>
    </row>
    <row r="233">
      <c r="A233" s="57"/>
      <c r="B233" s="58"/>
    </row>
    <row r="234">
      <c r="A234" s="57"/>
      <c r="B234" s="58"/>
    </row>
    <row r="235">
      <c r="A235" s="57"/>
      <c r="B235" s="58"/>
    </row>
    <row r="236">
      <c r="A236" s="57"/>
      <c r="B236" s="58"/>
    </row>
    <row r="237">
      <c r="A237" s="57"/>
      <c r="B237" s="58"/>
    </row>
    <row r="238">
      <c r="A238" s="57"/>
      <c r="B238" s="58"/>
    </row>
    <row r="239">
      <c r="A239" s="57"/>
      <c r="B239" s="58"/>
    </row>
    <row r="240">
      <c r="A240" s="57"/>
      <c r="B240" s="58"/>
    </row>
    <row r="241">
      <c r="A241" s="57"/>
      <c r="B241" s="58"/>
    </row>
    <row r="242">
      <c r="A242" s="57"/>
      <c r="B242" s="58"/>
    </row>
    <row r="243">
      <c r="A243" s="57"/>
      <c r="B243" s="58"/>
    </row>
    <row r="244">
      <c r="A244" s="57"/>
      <c r="B244" s="58"/>
    </row>
    <row r="245">
      <c r="A245" s="57"/>
      <c r="B245" s="58"/>
    </row>
    <row r="246">
      <c r="A246" s="57"/>
      <c r="B246" s="58"/>
    </row>
    <row r="247">
      <c r="A247" s="57"/>
      <c r="B247" s="58"/>
    </row>
    <row r="248">
      <c r="A248" s="57"/>
      <c r="B248" s="58"/>
    </row>
    <row r="249">
      <c r="A249" s="57"/>
      <c r="B249" s="58"/>
    </row>
    <row r="250">
      <c r="A250" s="57"/>
      <c r="B250" s="58"/>
    </row>
    <row r="251">
      <c r="A251" s="57"/>
      <c r="B251" s="58"/>
    </row>
    <row r="252">
      <c r="A252" s="57"/>
      <c r="B252" s="58"/>
    </row>
    <row r="253">
      <c r="A253" s="57"/>
      <c r="B253" s="58"/>
    </row>
    <row r="254">
      <c r="A254" s="57"/>
      <c r="B254" s="58"/>
    </row>
    <row r="255">
      <c r="A255" s="57"/>
      <c r="B255" s="58"/>
    </row>
    <row r="256">
      <c r="A256" s="57"/>
      <c r="B256" s="58"/>
    </row>
    <row r="257">
      <c r="A257" s="57"/>
      <c r="B257" s="58"/>
    </row>
    <row r="258">
      <c r="A258" s="57"/>
      <c r="B258" s="58"/>
    </row>
    <row r="259">
      <c r="A259" s="57"/>
      <c r="B259" s="58"/>
    </row>
    <row r="260">
      <c r="A260" s="57"/>
      <c r="B260" s="58"/>
    </row>
    <row r="261">
      <c r="A261" s="57"/>
      <c r="B261" s="58"/>
    </row>
    <row r="262">
      <c r="A262" s="57"/>
      <c r="B262" s="58"/>
    </row>
    <row r="263">
      <c r="A263" s="57"/>
      <c r="B263" s="58"/>
    </row>
    <row r="264">
      <c r="A264" s="57"/>
      <c r="B264" s="58"/>
    </row>
    <row r="265">
      <c r="A265" s="57"/>
      <c r="B265" s="58"/>
    </row>
    <row r="266">
      <c r="A266" s="57"/>
      <c r="B266" s="58"/>
    </row>
    <row r="267">
      <c r="A267" s="57"/>
      <c r="B267" s="58"/>
    </row>
    <row r="268">
      <c r="A268" s="57"/>
      <c r="B268" s="58"/>
    </row>
    <row r="269">
      <c r="A269" s="57"/>
      <c r="B269" s="58"/>
    </row>
    <row r="270">
      <c r="A270" s="57"/>
      <c r="B270" s="58"/>
    </row>
    <row r="271">
      <c r="A271" s="57"/>
      <c r="B271" s="58"/>
    </row>
    <row r="272">
      <c r="A272" s="57"/>
      <c r="B272" s="58"/>
    </row>
    <row r="273">
      <c r="A273" s="57"/>
      <c r="B273" s="58"/>
    </row>
    <row r="274">
      <c r="A274" s="57"/>
      <c r="B274" s="58"/>
    </row>
    <row r="275">
      <c r="A275" s="57"/>
      <c r="B275" s="58"/>
    </row>
    <row r="276">
      <c r="A276" s="57"/>
      <c r="B276" s="58"/>
    </row>
    <row r="277">
      <c r="A277" s="57"/>
      <c r="B277" s="58"/>
    </row>
    <row r="278">
      <c r="A278" s="57"/>
      <c r="B278" s="58"/>
    </row>
    <row r="279">
      <c r="A279" s="57"/>
      <c r="B279" s="58"/>
    </row>
    <row r="280">
      <c r="A280" s="57"/>
      <c r="B280" s="58"/>
    </row>
    <row r="281">
      <c r="A281" s="57"/>
      <c r="B281" s="58"/>
    </row>
    <row r="282">
      <c r="A282" s="57"/>
      <c r="B282" s="58"/>
    </row>
    <row r="283">
      <c r="A283" s="57"/>
      <c r="B283" s="58"/>
    </row>
    <row r="284">
      <c r="A284" s="57"/>
      <c r="B284" s="58"/>
    </row>
    <row r="285">
      <c r="A285" s="57"/>
      <c r="B285" s="58"/>
    </row>
    <row r="286">
      <c r="A286" s="57"/>
      <c r="B286" s="58"/>
    </row>
    <row r="287">
      <c r="A287" s="57"/>
      <c r="B287" s="58"/>
    </row>
    <row r="288">
      <c r="A288" s="57"/>
      <c r="B288" s="58"/>
    </row>
    <row r="289">
      <c r="A289" s="57"/>
      <c r="B289" s="58"/>
    </row>
    <row r="290">
      <c r="A290" s="57"/>
      <c r="B290" s="58"/>
    </row>
    <row r="291">
      <c r="A291" s="57"/>
      <c r="B291" s="58"/>
    </row>
    <row r="292">
      <c r="A292" s="57"/>
      <c r="B292" s="58"/>
    </row>
    <row r="293">
      <c r="A293" s="57"/>
      <c r="B293" s="58"/>
    </row>
    <row r="294">
      <c r="A294" s="57"/>
      <c r="B294" s="58"/>
    </row>
    <row r="295">
      <c r="A295" s="57"/>
      <c r="B295" s="58"/>
    </row>
    <row r="296">
      <c r="A296" s="57"/>
      <c r="B296" s="58"/>
    </row>
    <row r="297">
      <c r="A297" s="57"/>
      <c r="B297" s="58"/>
    </row>
    <row r="298">
      <c r="A298" s="57"/>
      <c r="B298" s="58"/>
    </row>
    <row r="299">
      <c r="A299" s="57"/>
      <c r="B299" s="58"/>
    </row>
    <row r="300">
      <c r="A300" s="57"/>
      <c r="B300" s="58"/>
    </row>
    <row r="301">
      <c r="A301" s="57"/>
      <c r="B301" s="58"/>
    </row>
    <row r="302">
      <c r="A302" s="57"/>
      <c r="B302" s="58"/>
    </row>
    <row r="303">
      <c r="A303" s="57"/>
      <c r="B303" s="58"/>
    </row>
    <row r="304">
      <c r="A304" s="57"/>
      <c r="B304" s="58"/>
    </row>
    <row r="305">
      <c r="A305" s="57"/>
      <c r="B305" s="58"/>
    </row>
    <row r="306">
      <c r="A306" s="57"/>
      <c r="B306" s="58"/>
    </row>
    <row r="307">
      <c r="A307" s="57"/>
      <c r="B307" s="58"/>
    </row>
    <row r="308">
      <c r="A308" s="57"/>
      <c r="B308" s="58"/>
    </row>
    <row r="309">
      <c r="A309" s="57"/>
      <c r="B309" s="58"/>
    </row>
    <row r="310">
      <c r="A310" s="57"/>
      <c r="B310" s="58"/>
    </row>
    <row r="311">
      <c r="A311" s="57"/>
      <c r="B311" s="58"/>
    </row>
    <row r="312">
      <c r="A312" s="57"/>
      <c r="B312" s="58"/>
    </row>
    <row r="313">
      <c r="A313" s="57"/>
      <c r="B313" s="58"/>
    </row>
    <row r="314">
      <c r="A314" s="57"/>
      <c r="B314" s="58"/>
    </row>
    <row r="315">
      <c r="A315" s="57"/>
      <c r="B315" s="58"/>
    </row>
    <row r="316">
      <c r="A316" s="57"/>
      <c r="B316" s="58"/>
    </row>
    <row r="317">
      <c r="A317" s="57"/>
      <c r="B317" s="58"/>
    </row>
    <row r="318">
      <c r="A318" s="57"/>
      <c r="B318" s="58"/>
    </row>
    <row r="319">
      <c r="A319" s="57"/>
      <c r="B319" s="58"/>
    </row>
    <row r="320">
      <c r="A320" s="57"/>
      <c r="B320" s="58"/>
    </row>
    <row r="321">
      <c r="A321" s="57"/>
      <c r="B321" s="58"/>
    </row>
    <row r="322">
      <c r="A322" s="57"/>
      <c r="B322" s="58"/>
    </row>
    <row r="323">
      <c r="A323" s="57"/>
      <c r="B323" s="58"/>
    </row>
    <row r="324">
      <c r="A324" s="57"/>
      <c r="B324" s="58"/>
    </row>
    <row r="325">
      <c r="A325" s="57"/>
      <c r="B325" s="58"/>
    </row>
    <row r="326">
      <c r="A326" s="57"/>
      <c r="B326" s="58"/>
    </row>
    <row r="327">
      <c r="A327" s="57"/>
      <c r="B327" s="58"/>
    </row>
    <row r="328">
      <c r="A328" s="57"/>
      <c r="B328" s="58"/>
    </row>
    <row r="329">
      <c r="A329" s="57"/>
      <c r="B329" s="58"/>
    </row>
    <row r="330">
      <c r="A330" s="57"/>
      <c r="B330" s="58"/>
    </row>
    <row r="331">
      <c r="A331" s="57"/>
      <c r="B331" s="58"/>
    </row>
    <row r="332">
      <c r="A332" s="57"/>
      <c r="B332" s="58"/>
    </row>
    <row r="333">
      <c r="A333" s="57"/>
      <c r="B333" s="58"/>
    </row>
    <row r="334">
      <c r="A334" s="57"/>
      <c r="B334" s="58"/>
    </row>
    <row r="335">
      <c r="A335" s="57"/>
      <c r="B335" s="58"/>
    </row>
    <row r="336">
      <c r="A336" s="57"/>
      <c r="B336" s="58"/>
    </row>
    <row r="337">
      <c r="A337" s="57"/>
      <c r="B337" s="58"/>
    </row>
    <row r="338">
      <c r="A338" s="57"/>
      <c r="B338" s="58"/>
    </row>
    <row r="339">
      <c r="A339" s="57"/>
      <c r="B339" s="58"/>
    </row>
    <row r="340">
      <c r="A340" s="57"/>
      <c r="B340" s="58"/>
    </row>
    <row r="341">
      <c r="A341" s="57"/>
      <c r="B341" s="58"/>
    </row>
    <row r="342">
      <c r="A342" s="57"/>
      <c r="B342" s="58"/>
    </row>
    <row r="343">
      <c r="A343" s="57"/>
      <c r="B343" s="58"/>
    </row>
    <row r="344">
      <c r="A344" s="57"/>
      <c r="B344" s="58"/>
    </row>
    <row r="345">
      <c r="A345" s="57"/>
      <c r="B345" s="58"/>
    </row>
    <row r="346">
      <c r="A346" s="57"/>
      <c r="B346" s="58"/>
    </row>
    <row r="347">
      <c r="A347" s="57"/>
      <c r="B347" s="58"/>
    </row>
    <row r="348">
      <c r="A348" s="57"/>
      <c r="B348" s="58"/>
    </row>
    <row r="349">
      <c r="A349" s="57"/>
      <c r="B349" s="58"/>
    </row>
    <row r="350">
      <c r="A350" s="57"/>
      <c r="B350" s="58"/>
    </row>
    <row r="351">
      <c r="A351" s="57"/>
      <c r="B351" s="58"/>
    </row>
    <row r="352">
      <c r="A352" s="57"/>
      <c r="B352" s="58"/>
    </row>
    <row r="353">
      <c r="A353" s="57"/>
      <c r="B353" s="58"/>
    </row>
    <row r="354">
      <c r="A354" s="57"/>
      <c r="B354" s="58"/>
    </row>
    <row r="355">
      <c r="A355" s="57"/>
      <c r="B355" s="58"/>
    </row>
    <row r="356">
      <c r="A356" s="57"/>
      <c r="B356" s="58"/>
    </row>
    <row r="357">
      <c r="A357" s="57"/>
      <c r="B357" s="58"/>
    </row>
    <row r="358">
      <c r="A358" s="57"/>
      <c r="B358" s="58"/>
    </row>
    <row r="359">
      <c r="A359" s="57"/>
      <c r="B359" s="58"/>
    </row>
    <row r="360">
      <c r="A360" s="57"/>
      <c r="B360" s="58"/>
    </row>
    <row r="361">
      <c r="A361" s="57"/>
      <c r="B361" s="58"/>
    </row>
    <row r="362">
      <c r="A362" s="57"/>
      <c r="B362" s="58"/>
    </row>
    <row r="363">
      <c r="A363" s="57"/>
      <c r="B363" s="58"/>
    </row>
    <row r="364">
      <c r="A364" s="57"/>
      <c r="B364" s="58"/>
    </row>
    <row r="365">
      <c r="A365" s="57"/>
      <c r="B365" s="58"/>
    </row>
    <row r="366">
      <c r="A366" s="57"/>
      <c r="B366" s="58"/>
    </row>
    <row r="367">
      <c r="A367" s="57"/>
      <c r="B367" s="58"/>
    </row>
    <row r="368">
      <c r="A368" s="57"/>
      <c r="B368" s="58"/>
    </row>
    <row r="369">
      <c r="A369" s="57"/>
      <c r="B369" s="58"/>
    </row>
    <row r="370">
      <c r="A370" s="57"/>
      <c r="B370" s="58"/>
    </row>
    <row r="371">
      <c r="A371" s="57"/>
      <c r="B371" s="58"/>
    </row>
    <row r="372">
      <c r="A372" s="57"/>
      <c r="B372" s="58"/>
    </row>
    <row r="373">
      <c r="A373" s="57"/>
      <c r="B373" s="58"/>
    </row>
    <row r="374">
      <c r="A374" s="57"/>
      <c r="B374" s="58"/>
    </row>
    <row r="375">
      <c r="A375" s="57"/>
      <c r="B375" s="58"/>
    </row>
    <row r="376">
      <c r="A376" s="57"/>
      <c r="B376" s="58"/>
    </row>
    <row r="377">
      <c r="A377" s="57"/>
      <c r="B377" s="58"/>
    </row>
    <row r="378">
      <c r="A378" s="57"/>
      <c r="B378" s="58"/>
    </row>
    <row r="379">
      <c r="A379" s="57"/>
      <c r="B379" s="58"/>
    </row>
    <row r="380">
      <c r="A380" s="57"/>
      <c r="B380" s="58"/>
    </row>
    <row r="381">
      <c r="A381" s="57"/>
      <c r="B381" s="58"/>
    </row>
    <row r="382">
      <c r="A382" s="57"/>
      <c r="B382" s="58"/>
    </row>
    <row r="383">
      <c r="A383" s="57"/>
      <c r="B383" s="58"/>
    </row>
    <row r="384">
      <c r="A384" s="57"/>
      <c r="B384" s="58"/>
    </row>
    <row r="385">
      <c r="A385" s="57"/>
      <c r="B385" s="58"/>
    </row>
    <row r="386">
      <c r="A386" s="57"/>
      <c r="B386" s="58"/>
    </row>
    <row r="387">
      <c r="A387" s="57"/>
      <c r="B387" s="58"/>
    </row>
    <row r="388">
      <c r="A388" s="57"/>
      <c r="B388" s="58"/>
    </row>
    <row r="389">
      <c r="A389" s="57"/>
      <c r="B389" s="58"/>
    </row>
    <row r="390">
      <c r="A390" s="57"/>
      <c r="B390" s="58"/>
    </row>
    <row r="391">
      <c r="A391" s="57"/>
      <c r="B391" s="58"/>
    </row>
    <row r="392">
      <c r="A392" s="57"/>
      <c r="B392" s="58"/>
    </row>
    <row r="393">
      <c r="A393" s="57"/>
      <c r="B393" s="58"/>
    </row>
    <row r="394">
      <c r="A394" s="57"/>
      <c r="B394" s="58"/>
    </row>
    <row r="395">
      <c r="A395" s="57"/>
      <c r="B395" s="58"/>
    </row>
    <row r="396">
      <c r="A396" s="57"/>
      <c r="B396" s="58"/>
    </row>
    <row r="397">
      <c r="A397" s="57"/>
      <c r="B397" s="58"/>
    </row>
    <row r="398">
      <c r="A398" s="57"/>
      <c r="B398" s="58"/>
    </row>
    <row r="399">
      <c r="A399" s="57"/>
      <c r="B399" s="58"/>
    </row>
    <row r="400">
      <c r="A400" s="57"/>
      <c r="B400" s="58"/>
    </row>
    <row r="401">
      <c r="A401" s="57"/>
      <c r="B401" s="58"/>
    </row>
    <row r="402">
      <c r="A402" s="57"/>
      <c r="B402" s="58"/>
    </row>
    <row r="403">
      <c r="A403" s="57"/>
      <c r="B403" s="58"/>
    </row>
    <row r="404">
      <c r="A404" s="57"/>
      <c r="B404" s="58"/>
    </row>
    <row r="405">
      <c r="A405" s="57"/>
      <c r="B405" s="58"/>
    </row>
    <row r="406">
      <c r="A406" s="57"/>
      <c r="B406" s="58"/>
    </row>
    <row r="407">
      <c r="A407" s="57"/>
      <c r="B407" s="58"/>
    </row>
    <row r="408">
      <c r="A408" s="57"/>
      <c r="B408" s="58"/>
    </row>
    <row r="409">
      <c r="A409" s="57"/>
      <c r="B409" s="58"/>
    </row>
    <row r="410">
      <c r="A410" s="57"/>
      <c r="B410" s="58"/>
    </row>
    <row r="411">
      <c r="A411" s="57"/>
      <c r="B411" s="58"/>
    </row>
    <row r="412">
      <c r="A412" s="57"/>
      <c r="B412" s="58"/>
    </row>
    <row r="413">
      <c r="A413" s="57"/>
      <c r="B413" s="58"/>
    </row>
    <row r="414">
      <c r="A414" s="57"/>
      <c r="B414" s="58"/>
    </row>
    <row r="415">
      <c r="A415" s="57"/>
      <c r="B415" s="58"/>
    </row>
    <row r="416">
      <c r="A416" s="57"/>
      <c r="B416" s="58"/>
    </row>
    <row r="417">
      <c r="A417" s="57"/>
      <c r="B417" s="58"/>
    </row>
    <row r="418">
      <c r="A418" s="57"/>
      <c r="B418" s="58"/>
    </row>
    <row r="419">
      <c r="A419" s="57"/>
      <c r="B419" s="58"/>
    </row>
    <row r="420">
      <c r="A420" s="57"/>
      <c r="B420" s="58"/>
    </row>
    <row r="421">
      <c r="A421" s="57"/>
      <c r="B421" s="58"/>
    </row>
    <row r="422">
      <c r="A422" s="57"/>
      <c r="B422" s="58"/>
    </row>
    <row r="423">
      <c r="A423" s="57"/>
      <c r="B423" s="58"/>
    </row>
    <row r="424">
      <c r="A424" s="57"/>
      <c r="B424" s="58"/>
    </row>
    <row r="425">
      <c r="A425" s="57"/>
      <c r="B425" s="58"/>
    </row>
    <row r="426">
      <c r="A426" s="57"/>
      <c r="B426" s="58"/>
    </row>
    <row r="427">
      <c r="A427" s="57"/>
      <c r="B427" s="58"/>
    </row>
    <row r="428">
      <c r="A428" s="57"/>
      <c r="B428" s="58"/>
    </row>
    <row r="429">
      <c r="A429" s="57"/>
      <c r="B429" s="58"/>
    </row>
    <row r="430">
      <c r="A430" s="57"/>
      <c r="B430" s="58"/>
    </row>
    <row r="431">
      <c r="A431" s="57"/>
      <c r="B431" s="58"/>
    </row>
    <row r="432">
      <c r="A432" s="57"/>
      <c r="B432" s="58"/>
    </row>
    <row r="433">
      <c r="A433" s="57"/>
      <c r="B433" s="58"/>
    </row>
    <row r="434">
      <c r="A434" s="57"/>
      <c r="B434" s="58"/>
    </row>
    <row r="435">
      <c r="A435" s="57"/>
      <c r="B435" s="58"/>
    </row>
    <row r="436">
      <c r="A436" s="57"/>
      <c r="B436" s="58"/>
    </row>
    <row r="437">
      <c r="A437" s="57"/>
      <c r="B437" s="58"/>
    </row>
    <row r="438">
      <c r="A438" s="57"/>
      <c r="B438" s="58"/>
    </row>
    <row r="439">
      <c r="A439" s="57"/>
      <c r="B439" s="58"/>
    </row>
    <row r="440">
      <c r="A440" s="57"/>
      <c r="B440" s="58"/>
    </row>
    <row r="441">
      <c r="A441" s="57"/>
      <c r="B441" s="58"/>
    </row>
    <row r="442">
      <c r="A442" s="57"/>
      <c r="B442" s="58"/>
    </row>
    <row r="443">
      <c r="A443" s="57"/>
      <c r="B443" s="58"/>
    </row>
    <row r="444">
      <c r="A444" s="57"/>
      <c r="B444" s="58"/>
    </row>
    <row r="445">
      <c r="A445" s="57"/>
      <c r="B445" s="58"/>
    </row>
    <row r="446">
      <c r="A446" s="57"/>
      <c r="B446" s="58"/>
    </row>
    <row r="447">
      <c r="A447" s="57"/>
      <c r="B447" s="58"/>
    </row>
    <row r="448">
      <c r="A448" s="57"/>
      <c r="B448" s="58"/>
    </row>
    <row r="449">
      <c r="A449" s="57"/>
      <c r="B449" s="58"/>
    </row>
    <row r="450">
      <c r="A450" s="57"/>
      <c r="B450" s="58"/>
    </row>
    <row r="451">
      <c r="A451" s="57"/>
      <c r="B451" s="58"/>
    </row>
    <row r="452">
      <c r="A452" s="57"/>
      <c r="B452" s="58"/>
    </row>
    <row r="453">
      <c r="A453" s="57"/>
      <c r="B453" s="58"/>
    </row>
    <row r="454">
      <c r="A454" s="57"/>
      <c r="B454" s="58"/>
    </row>
    <row r="455">
      <c r="A455" s="57"/>
      <c r="B455" s="58"/>
    </row>
    <row r="456">
      <c r="A456" s="57"/>
      <c r="B456" s="58"/>
    </row>
    <row r="457">
      <c r="A457" s="57"/>
      <c r="B457" s="58"/>
    </row>
    <row r="458">
      <c r="A458" s="57"/>
      <c r="B458" s="58"/>
    </row>
    <row r="459">
      <c r="A459" s="57"/>
      <c r="B459" s="58"/>
    </row>
    <row r="460">
      <c r="A460" s="57"/>
      <c r="B460" s="58"/>
    </row>
    <row r="461">
      <c r="A461" s="57"/>
      <c r="B461" s="58"/>
    </row>
    <row r="462">
      <c r="A462" s="57"/>
      <c r="B462" s="58"/>
    </row>
    <row r="463">
      <c r="A463" s="57"/>
      <c r="B463" s="58"/>
    </row>
    <row r="464">
      <c r="A464" s="57"/>
      <c r="B464" s="58"/>
    </row>
    <row r="465">
      <c r="A465" s="57"/>
      <c r="B465" s="58"/>
    </row>
    <row r="466">
      <c r="A466" s="57"/>
      <c r="B466" s="58"/>
    </row>
    <row r="467">
      <c r="A467" s="57"/>
      <c r="B467" s="58"/>
    </row>
    <row r="468">
      <c r="A468" s="57"/>
      <c r="B468" s="58"/>
    </row>
    <row r="469">
      <c r="A469" s="57"/>
      <c r="B469" s="58"/>
    </row>
    <row r="470">
      <c r="A470" s="57"/>
      <c r="B470" s="58"/>
    </row>
    <row r="471">
      <c r="A471" s="57"/>
      <c r="B471" s="58"/>
    </row>
    <row r="472">
      <c r="A472" s="57"/>
      <c r="B472" s="58"/>
    </row>
    <row r="473">
      <c r="A473" s="57"/>
      <c r="B473" s="58"/>
    </row>
    <row r="474">
      <c r="A474" s="57"/>
      <c r="B474" s="58"/>
    </row>
    <row r="475">
      <c r="A475" s="57"/>
      <c r="B475" s="58"/>
    </row>
    <row r="476">
      <c r="A476" s="57"/>
      <c r="B476" s="58"/>
    </row>
    <row r="477">
      <c r="A477" s="57"/>
      <c r="B477" s="58"/>
    </row>
    <row r="478">
      <c r="A478" s="57"/>
      <c r="B478" s="58"/>
    </row>
    <row r="479">
      <c r="A479" s="57"/>
      <c r="B479" s="58"/>
    </row>
    <row r="480">
      <c r="A480" s="57"/>
      <c r="B480" s="58"/>
    </row>
    <row r="481">
      <c r="A481" s="57"/>
      <c r="B481" s="58"/>
    </row>
    <row r="482">
      <c r="A482" s="57"/>
      <c r="B482" s="58"/>
    </row>
    <row r="483">
      <c r="A483" s="57"/>
      <c r="B483" s="58"/>
    </row>
    <row r="484">
      <c r="A484" s="57"/>
      <c r="B484" s="58"/>
    </row>
    <row r="485">
      <c r="A485" s="57"/>
      <c r="B485" s="58"/>
    </row>
    <row r="486">
      <c r="A486" s="57"/>
      <c r="B486" s="58"/>
    </row>
    <row r="487">
      <c r="A487" s="57"/>
      <c r="B487" s="58"/>
    </row>
    <row r="488">
      <c r="A488" s="57"/>
      <c r="B488" s="58"/>
    </row>
    <row r="489">
      <c r="A489" s="57"/>
      <c r="B489" s="58"/>
    </row>
    <row r="490">
      <c r="A490" s="57"/>
      <c r="B490" s="58"/>
    </row>
    <row r="491">
      <c r="A491" s="57"/>
      <c r="B491" s="58"/>
    </row>
    <row r="492">
      <c r="A492" s="57"/>
      <c r="B492" s="58"/>
    </row>
    <row r="493">
      <c r="A493" s="57"/>
      <c r="B493" s="58"/>
    </row>
    <row r="494">
      <c r="A494" s="57"/>
      <c r="B494" s="58"/>
    </row>
    <row r="495">
      <c r="A495" s="57"/>
      <c r="B495" s="58"/>
    </row>
    <row r="496">
      <c r="A496" s="57"/>
      <c r="B496" s="58"/>
    </row>
    <row r="497">
      <c r="A497" s="57"/>
      <c r="B497" s="58"/>
    </row>
    <row r="498">
      <c r="A498" s="57"/>
      <c r="B498" s="58"/>
    </row>
    <row r="499">
      <c r="A499" s="57"/>
      <c r="B499" s="58"/>
    </row>
    <row r="500">
      <c r="A500" s="57"/>
      <c r="B500" s="58"/>
    </row>
    <row r="501">
      <c r="A501" s="57"/>
      <c r="B501" s="58"/>
    </row>
    <row r="502">
      <c r="A502" s="57"/>
      <c r="B502" s="58"/>
    </row>
    <row r="503">
      <c r="A503" s="57"/>
      <c r="B503" s="58"/>
    </row>
    <row r="504">
      <c r="A504" s="57"/>
      <c r="B504" s="58"/>
    </row>
    <row r="505">
      <c r="A505" s="57"/>
      <c r="B505" s="58"/>
    </row>
    <row r="506">
      <c r="A506" s="57"/>
      <c r="B506" s="58"/>
    </row>
    <row r="507">
      <c r="A507" s="57"/>
      <c r="B507" s="58"/>
    </row>
    <row r="508">
      <c r="A508" s="57"/>
      <c r="B508" s="58"/>
    </row>
    <row r="509">
      <c r="A509" s="57"/>
      <c r="B509" s="58"/>
    </row>
    <row r="510">
      <c r="A510" s="57"/>
      <c r="B510" s="58"/>
    </row>
    <row r="511">
      <c r="A511" s="57"/>
      <c r="B511" s="58"/>
    </row>
    <row r="512">
      <c r="A512" s="57"/>
      <c r="B512" s="58"/>
    </row>
    <row r="513">
      <c r="A513" s="57"/>
      <c r="B513" s="58"/>
    </row>
    <row r="514">
      <c r="A514" s="57"/>
      <c r="B514" s="58"/>
    </row>
    <row r="515">
      <c r="A515" s="57"/>
      <c r="B515" s="58"/>
    </row>
    <row r="516">
      <c r="A516" s="57"/>
      <c r="B516" s="58"/>
    </row>
    <row r="517">
      <c r="A517" s="57"/>
      <c r="B517" s="58"/>
    </row>
    <row r="518">
      <c r="A518" s="57"/>
      <c r="B518" s="58"/>
    </row>
    <row r="519">
      <c r="A519" s="57"/>
      <c r="B519" s="58"/>
    </row>
    <row r="520">
      <c r="A520" s="57"/>
      <c r="B520" s="58"/>
    </row>
    <row r="521">
      <c r="A521" s="57"/>
      <c r="B521" s="58"/>
    </row>
    <row r="522">
      <c r="A522" s="57"/>
      <c r="B522" s="58"/>
    </row>
    <row r="523">
      <c r="A523" s="57"/>
      <c r="B523" s="58"/>
    </row>
    <row r="524">
      <c r="A524" s="57"/>
      <c r="B524" s="58"/>
    </row>
    <row r="525">
      <c r="A525" s="57"/>
      <c r="B525" s="58"/>
    </row>
    <row r="526">
      <c r="A526" s="57"/>
      <c r="B526" s="58"/>
    </row>
    <row r="527">
      <c r="A527" s="57"/>
      <c r="B527" s="58"/>
    </row>
    <row r="528">
      <c r="A528" s="57"/>
      <c r="B528" s="58"/>
    </row>
    <row r="529">
      <c r="A529" s="57"/>
      <c r="B529" s="58"/>
    </row>
    <row r="530">
      <c r="A530" s="57"/>
      <c r="B530" s="58"/>
    </row>
    <row r="531">
      <c r="A531" s="57"/>
      <c r="B531" s="58"/>
    </row>
    <row r="532">
      <c r="A532" s="57"/>
      <c r="B532" s="58"/>
    </row>
    <row r="533">
      <c r="A533" s="57"/>
      <c r="B533" s="58"/>
    </row>
    <row r="534">
      <c r="A534" s="57"/>
      <c r="B534" s="58"/>
    </row>
    <row r="535">
      <c r="A535" s="57"/>
      <c r="B535" s="58"/>
    </row>
    <row r="536">
      <c r="A536" s="57"/>
      <c r="B536" s="58"/>
    </row>
    <row r="537">
      <c r="A537" s="57"/>
      <c r="B537" s="58"/>
    </row>
    <row r="538">
      <c r="A538" s="57"/>
      <c r="B538" s="58"/>
    </row>
    <row r="539">
      <c r="A539" s="57"/>
      <c r="B539" s="58"/>
    </row>
    <row r="540">
      <c r="A540" s="57"/>
      <c r="B540" s="58"/>
    </row>
    <row r="541">
      <c r="A541" s="57"/>
      <c r="B541" s="58"/>
    </row>
    <row r="542">
      <c r="A542" s="57"/>
      <c r="B542" s="58"/>
    </row>
    <row r="543">
      <c r="A543" s="57"/>
      <c r="B543" s="58"/>
    </row>
    <row r="544">
      <c r="A544" s="57"/>
      <c r="B544" s="58"/>
    </row>
    <row r="545">
      <c r="A545" s="57"/>
      <c r="B545" s="58"/>
    </row>
    <row r="546">
      <c r="A546" s="57"/>
      <c r="B546" s="58"/>
    </row>
    <row r="547">
      <c r="A547" s="57"/>
      <c r="B547" s="58"/>
    </row>
    <row r="548">
      <c r="A548" s="57"/>
      <c r="B548" s="58"/>
    </row>
    <row r="549">
      <c r="A549" s="57"/>
      <c r="B549" s="58"/>
    </row>
    <row r="550">
      <c r="A550" s="57"/>
      <c r="B550" s="58"/>
    </row>
    <row r="551">
      <c r="A551" s="57"/>
      <c r="B551" s="58"/>
    </row>
    <row r="552">
      <c r="A552" s="57"/>
      <c r="B552" s="58"/>
    </row>
    <row r="553">
      <c r="A553" s="57"/>
      <c r="B553" s="58"/>
    </row>
    <row r="554">
      <c r="A554" s="57"/>
      <c r="B554" s="58"/>
    </row>
    <row r="555">
      <c r="A555" s="57"/>
      <c r="B555" s="58"/>
    </row>
    <row r="556">
      <c r="A556" s="57"/>
      <c r="B556" s="58"/>
    </row>
    <row r="557">
      <c r="A557" s="57"/>
      <c r="B557" s="58"/>
    </row>
    <row r="558">
      <c r="A558" s="57"/>
      <c r="B558" s="58"/>
    </row>
    <row r="559">
      <c r="A559" s="57"/>
      <c r="B559" s="58"/>
    </row>
    <row r="560">
      <c r="A560" s="57"/>
      <c r="B560" s="58"/>
    </row>
    <row r="561">
      <c r="A561" s="57"/>
      <c r="B561" s="58"/>
    </row>
    <row r="562">
      <c r="A562" s="57"/>
      <c r="B562" s="58"/>
    </row>
    <row r="563">
      <c r="A563" s="57"/>
      <c r="B563" s="58"/>
    </row>
    <row r="564">
      <c r="A564" s="57"/>
      <c r="B564" s="58"/>
    </row>
    <row r="565">
      <c r="A565" s="57"/>
      <c r="B565" s="58"/>
    </row>
    <row r="566">
      <c r="A566" s="57"/>
      <c r="B566" s="58"/>
    </row>
    <row r="567">
      <c r="A567" s="57"/>
      <c r="B567" s="58"/>
    </row>
    <row r="568">
      <c r="A568" s="57"/>
      <c r="B568" s="58"/>
    </row>
    <row r="569">
      <c r="A569" s="57"/>
      <c r="B569" s="58"/>
    </row>
    <row r="570">
      <c r="A570" s="57"/>
      <c r="B570" s="58"/>
    </row>
    <row r="571">
      <c r="A571" s="57"/>
      <c r="B571" s="58"/>
    </row>
    <row r="572">
      <c r="A572" s="57"/>
      <c r="B572" s="58"/>
    </row>
    <row r="573">
      <c r="A573" s="57"/>
      <c r="B573" s="58"/>
    </row>
    <row r="574">
      <c r="A574" s="57"/>
      <c r="B574" s="58"/>
    </row>
    <row r="575">
      <c r="A575" s="57"/>
      <c r="B575" s="58"/>
    </row>
    <row r="576">
      <c r="A576" s="57"/>
      <c r="B576" s="58"/>
    </row>
    <row r="577">
      <c r="A577" s="57"/>
      <c r="B577" s="58"/>
    </row>
    <row r="578">
      <c r="A578" s="57"/>
      <c r="B578" s="58"/>
    </row>
    <row r="579">
      <c r="A579" s="57"/>
      <c r="B579" s="58"/>
    </row>
    <row r="580">
      <c r="A580" s="57"/>
      <c r="B580" s="58"/>
    </row>
    <row r="581">
      <c r="A581" s="57"/>
      <c r="B581" s="58"/>
    </row>
    <row r="582">
      <c r="A582" s="57"/>
      <c r="B582" s="58"/>
    </row>
    <row r="583">
      <c r="A583" s="57"/>
      <c r="B583" s="58"/>
    </row>
    <row r="584">
      <c r="A584" s="57"/>
      <c r="B584" s="58"/>
    </row>
    <row r="585">
      <c r="A585" s="57"/>
      <c r="B585" s="58"/>
    </row>
    <row r="586">
      <c r="A586" s="57"/>
      <c r="B586" s="58"/>
    </row>
    <row r="587">
      <c r="A587" s="57"/>
      <c r="B587" s="58"/>
    </row>
    <row r="588">
      <c r="A588" s="57"/>
      <c r="B588" s="58"/>
    </row>
    <row r="589">
      <c r="A589" s="57"/>
      <c r="B589" s="58"/>
    </row>
    <row r="590">
      <c r="A590" s="57"/>
      <c r="B590" s="58"/>
    </row>
    <row r="591">
      <c r="A591" s="57"/>
      <c r="B591" s="58"/>
    </row>
    <row r="592">
      <c r="A592" s="57"/>
      <c r="B592" s="58"/>
    </row>
    <row r="593">
      <c r="A593" s="57"/>
      <c r="B593" s="58"/>
    </row>
    <row r="594">
      <c r="A594" s="57"/>
      <c r="B594" s="58"/>
    </row>
    <row r="595">
      <c r="A595" s="57"/>
      <c r="B595" s="58"/>
    </row>
    <row r="596">
      <c r="A596" s="57"/>
      <c r="B596" s="58"/>
    </row>
    <row r="597">
      <c r="A597" s="57"/>
      <c r="B597" s="58"/>
    </row>
    <row r="598">
      <c r="A598" s="57"/>
      <c r="B598" s="58"/>
    </row>
    <row r="599">
      <c r="A599" s="57"/>
      <c r="B599" s="58"/>
    </row>
    <row r="600">
      <c r="A600" s="57"/>
      <c r="B600" s="58"/>
    </row>
    <row r="601">
      <c r="A601" s="57"/>
      <c r="B601" s="58"/>
    </row>
    <row r="602">
      <c r="A602" s="57"/>
      <c r="B602" s="58"/>
    </row>
    <row r="603">
      <c r="A603" s="57"/>
      <c r="B603" s="58"/>
    </row>
    <row r="604">
      <c r="A604" s="57"/>
      <c r="B604" s="58"/>
    </row>
    <row r="605">
      <c r="A605" s="57"/>
      <c r="B605" s="58"/>
    </row>
    <row r="606">
      <c r="A606" s="57"/>
      <c r="B606" s="58"/>
    </row>
    <row r="607">
      <c r="A607" s="57"/>
      <c r="B607" s="58"/>
    </row>
    <row r="608">
      <c r="A608" s="57"/>
      <c r="B608" s="58"/>
    </row>
    <row r="609">
      <c r="A609" s="57"/>
      <c r="B609" s="58"/>
    </row>
    <row r="610">
      <c r="A610" s="57"/>
      <c r="B610" s="58"/>
    </row>
    <row r="611">
      <c r="A611" s="57"/>
      <c r="B611" s="58"/>
    </row>
    <row r="612">
      <c r="A612" s="57"/>
      <c r="B612" s="58"/>
    </row>
    <row r="613">
      <c r="A613" s="57"/>
      <c r="B613" s="58"/>
    </row>
    <row r="614">
      <c r="A614" s="57"/>
      <c r="B614" s="58"/>
    </row>
    <row r="615">
      <c r="A615" s="57"/>
      <c r="B615" s="58"/>
    </row>
    <row r="616">
      <c r="A616" s="57"/>
      <c r="B616" s="58"/>
    </row>
    <row r="617">
      <c r="A617" s="57"/>
      <c r="B617" s="58"/>
    </row>
    <row r="618">
      <c r="A618" s="57"/>
      <c r="B618" s="58"/>
    </row>
    <row r="619">
      <c r="A619" s="57"/>
      <c r="B619" s="58"/>
    </row>
    <row r="620">
      <c r="A620" s="57"/>
      <c r="B620" s="58"/>
    </row>
    <row r="621">
      <c r="A621" s="57"/>
      <c r="B621" s="58"/>
    </row>
    <row r="622">
      <c r="A622" s="57"/>
      <c r="B622" s="58"/>
    </row>
    <row r="623">
      <c r="A623" s="57"/>
      <c r="B623" s="58"/>
    </row>
    <row r="624">
      <c r="A624" s="57"/>
      <c r="B624" s="58"/>
    </row>
    <row r="625">
      <c r="A625" s="57"/>
      <c r="B625" s="58"/>
    </row>
    <row r="626">
      <c r="A626" s="57"/>
      <c r="B626" s="58"/>
    </row>
    <row r="627">
      <c r="A627" s="57"/>
      <c r="B627" s="58"/>
    </row>
    <row r="628">
      <c r="A628" s="57"/>
      <c r="B628" s="58"/>
    </row>
    <row r="629">
      <c r="A629" s="57"/>
      <c r="B629" s="58"/>
    </row>
    <row r="630">
      <c r="A630" s="57"/>
      <c r="B630" s="58"/>
    </row>
    <row r="631">
      <c r="A631" s="57"/>
      <c r="B631" s="58"/>
    </row>
    <row r="632">
      <c r="A632" s="57"/>
      <c r="B632" s="58"/>
    </row>
    <row r="633">
      <c r="A633" s="57"/>
      <c r="B633" s="58"/>
    </row>
    <row r="634">
      <c r="A634" s="57"/>
      <c r="B634" s="58"/>
    </row>
    <row r="635">
      <c r="A635" s="57"/>
      <c r="B635" s="58"/>
    </row>
    <row r="636">
      <c r="A636" s="57"/>
      <c r="B636" s="58"/>
    </row>
    <row r="637">
      <c r="A637" s="57"/>
      <c r="B637" s="58"/>
    </row>
    <row r="638">
      <c r="A638" s="57"/>
      <c r="B638" s="58"/>
    </row>
    <row r="639">
      <c r="A639" s="57"/>
      <c r="B639" s="58"/>
    </row>
    <row r="640">
      <c r="A640" s="57"/>
      <c r="B640" s="58"/>
    </row>
    <row r="641">
      <c r="A641" s="57"/>
      <c r="B641" s="58"/>
    </row>
    <row r="642">
      <c r="A642" s="57"/>
      <c r="B642" s="58"/>
    </row>
    <row r="643">
      <c r="A643" s="57"/>
      <c r="B643" s="58"/>
    </row>
    <row r="644">
      <c r="A644" s="57"/>
      <c r="B644" s="58"/>
    </row>
    <row r="645">
      <c r="A645" s="57"/>
      <c r="B645" s="58"/>
    </row>
    <row r="646">
      <c r="A646" s="57"/>
      <c r="B646" s="58"/>
    </row>
    <row r="647">
      <c r="A647" s="57"/>
      <c r="B647" s="58"/>
    </row>
    <row r="648">
      <c r="A648" s="57"/>
      <c r="B648" s="58"/>
    </row>
    <row r="649">
      <c r="A649" s="57"/>
      <c r="B649" s="58"/>
    </row>
    <row r="650">
      <c r="A650" s="57"/>
      <c r="B650" s="58"/>
    </row>
    <row r="651">
      <c r="A651" s="57"/>
      <c r="B651" s="58"/>
    </row>
    <row r="652">
      <c r="A652" s="57"/>
      <c r="B652" s="58"/>
    </row>
    <row r="653">
      <c r="A653" s="57"/>
      <c r="B653" s="58"/>
    </row>
    <row r="654">
      <c r="A654" s="57"/>
      <c r="B654" s="58"/>
    </row>
    <row r="655">
      <c r="A655" s="57"/>
      <c r="B655" s="58"/>
    </row>
    <row r="656">
      <c r="A656" s="57"/>
      <c r="B656" s="58"/>
    </row>
    <row r="657">
      <c r="A657" s="57"/>
      <c r="B657" s="58"/>
    </row>
    <row r="658">
      <c r="A658" s="57"/>
      <c r="B658" s="58"/>
    </row>
    <row r="659">
      <c r="A659" s="57"/>
      <c r="B659" s="58"/>
    </row>
    <row r="660">
      <c r="A660" s="57"/>
      <c r="B660" s="58"/>
    </row>
    <row r="661">
      <c r="A661" s="57"/>
      <c r="B661" s="58"/>
    </row>
    <row r="662">
      <c r="A662" s="57"/>
      <c r="B662" s="58"/>
    </row>
    <row r="663">
      <c r="A663" s="57"/>
      <c r="B663" s="58"/>
    </row>
    <row r="664">
      <c r="A664" s="57"/>
      <c r="B664" s="58"/>
    </row>
    <row r="665">
      <c r="A665" s="57"/>
      <c r="B665" s="58"/>
    </row>
    <row r="666">
      <c r="A666" s="57"/>
      <c r="B666" s="58"/>
    </row>
    <row r="667">
      <c r="A667" s="57"/>
      <c r="B667" s="58"/>
    </row>
    <row r="668">
      <c r="A668" s="57"/>
      <c r="B668" s="58"/>
    </row>
    <row r="669">
      <c r="A669" s="57"/>
      <c r="B669" s="58"/>
    </row>
    <row r="670">
      <c r="A670" s="57"/>
      <c r="B670" s="58"/>
    </row>
    <row r="671">
      <c r="A671" s="57"/>
      <c r="B671" s="58"/>
    </row>
    <row r="672">
      <c r="A672" s="57"/>
      <c r="B672" s="58"/>
    </row>
    <row r="673">
      <c r="A673" s="57"/>
      <c r="B673" s="58"/>
    </row>
    <row r="674">
      <c r="A674" s="57"/>
      <c r="B674" s="58"/>
    </row>
    <row r="675">
      <c r="A675" s="57"/>
      <c r="B675" s="58"/>
    </row>
    <row r="676">
      <c r="A676" s="57"/>
      <c r="B676" s="58"/>
    </row>
    <row r="677">
      <c r="A677" s="57"/>
      <c r="B677" s="58"/>
    </row>
    <row r="678">
      <c r="A678" s="57"/>
      <c r="B678" s="58"/>
    </row>
    <row r="679">
      <c r="A679" s="57"/>
      <c r="B679" s="58"/>
    </row>
    <row r="680">
      <c r="A680" s="57"/>
      <c r="B680" s="58"/>
    </row>
    <row r="681">
      <c r="A681" s="57"/>
      <c r="B681" s="58"/>
    </row>
    <row r="682">
      <c r="A682" s="57"/>
      <c r="B682" s="58"/>
    </row>
    <row r="683">
      <c r="A683" s="57"/>
      <c r="B683" s="58"/>
    </row>
    <row r="684">
      <c r="A684" s="57"/>
      <c r="B684" s="58"/>
    </row>
    <row r="685">
      <c r="A685" s="57"/>
      <c r="B685" s="58"/>
    </row>
    <row r="686">
      <c r="A686" s="57"/>
      <c r="B686" s="58"/>
    </row>
    <row r="687">
      <c r="A687" s="57"/>
      <c r="B687" s="58"/>
    </row>
    <row r="688">
      <c r="A688" s="57"/>
      <c r="B688" s="58"/>
    </row>
    <row r="689">
      <c r="A689" s="57"/>
      <c r="B689" s="58"/>
    </row>
    <row r="690">
      <c r="A690" s="57"/>
      <c r="B690" s="58"/>
    </row>
    <row r="691">
      <c r="A691" s="57"/>
      <c r="B691" s="58"/>
    </row>
    <row r="692">
      <c r="A692" s="57"/>
      <c r="B692" s="58"/>
    </row>
    <row r="693">
      <c r="A693" s="57"/>
      <c r="B693" s="58"/>
    </row>
    <row r="694">
      <c r="A694" s="57"/>
      <c r="B694" s="58"/>
    </row>
    <row r="695">
      <c r="A695" s="57"/>
      <c r="B695" s="58"/>
    </row>
    <row r="696">
      <c r="A696" s="57"/>
      <c r="B696" s="58"/>
    </row>
    <row r="697">
      <c r="A697" s="57"/>
      <c r="B697" s="58"/>
    </row>
    <row r="698">
      <c r="A698" s="57"/>
      <c r="B698" s="58"/>
    </row>
    <row r="699">
      <c r="A699" s="57"/>
      <c r="B699" s="58"/>
    </row>
    <row r="700">
      <c r="A700" s="57"/>
      <c r="B700" s="58"/>
    </row>
    <row r="701">
      <c r="A701" s="57"/>
      <c r="B701" s="58"/>
    </row>
    <row r="702">
      <c r="A702" s="57"/>
      <c r="B702" s="58"/>
    </row>
    <row r="703">
      <c r="A703" s="57"/>
      <c r="B703" s="58"/>
    </row>
    <row r="704">
      <c r="A704" s="57"/>
      <c r="B704" s="58"/>
    </row>
    <row r="705">
      <c r="A705" s="57"/>
      <c r="B705" s="58"/>
    </row>
    <row r="706">
      <c r="A706" s="57"/>
      <c r="B706" s="58"/>
    </row>
    <row r="707">
      <c r="A707" s="57"/>
      <c r="B707" s="58"/>
    </row>
    <row r="708">
      <c r="A708" s="57"/>
      <c r="B708" s="58"/>
    </row>
    <row r="709">
      <c r="A709" s="57"/>
      <c r="B709" s="58"/>
    </row>
    <row r="710">
      <c r="A710" s="57"/>
      <c r="B710" s="58"/>
    </row>
    <row r="711">
      <c r="A711" s="57"/>
      <c r="B711" s="58"/>
    </row>
    <row r="712">
      <c r="A712" s="57"/>
      <c r="B712" s="58"/>
    </row>
    <row r="713">
      <c r="A713" s="57"/>
      <c r="B713" s="58"/>
    </row>
    <row r="714">
      <c r="A714" s="57"/>
      <c r="B714" s="58"/>
    </row>
    <row r="715">
      <c r="A715" s="57"/>
      <c r="B715" s="58"/>
    </row>
    <row r="716">
      <c r="A716" s="57"/>
      <c r="B716" s="58"/>
    </row>
    <row r="717">
      <c r="A717" s="57"/>
      <c r="B717" s="58"/>
    </row>
    <row r="718">
      <c r="A718" s="57"/>
      <c r="B718" s="58"/>
    </row>
    <row r="719">
      <c r="A719" s="57"/>
      <c r="B719" s="58"/>
    </row>
    <row r="720">
      <c r="A720" s="57"/>
      <c r="B720" s="58"/>
    </row>
    <row r="721">
      <c r="A721" s="57"/>
      <c r="B721" s="58"/>
    </row>
    <row r="722">
      <c r="A722" s="57"/>
      <c r="B722" s="58"/>
    </row>
    <row r="723">
      <c r="A723" s="57"/>
      <c r="B723" s="58"/>
    </row>
    <row r="724">
      <c r="A724" s="57"/>
      <c r="B724" s="58"/>
    </row>
    <row r="725">
      <c r="A725" s="57"/>
      <c r="B725" s="58"/>
    </row>
    <row r="726">
      <c r="A726" s="57"/>
      <c r="B726" s="58"/>
    </row>
    <row r="727">
      <c r="A727" s="57"/>
      <c r="B727" s="58"/>
    </row>
    <row r="728">
      <c r="A728" s="57"/>
      <c r="B728" s="58"/>
    </row>
    <row r="729">
      <c r="A729" s="57"/>
      <c r="B729" s="58"/>
    </row>
    <row r="730">
      <c r="A730" s="57"/>
      <c r="B730" s="58"/>
    </row>
    <row r="731">
      <c r="A731" s="57"/>
      <c r="B731" s="58"/>
    </row>
    <row r="732">
      <c r="A732" s="57"/>
      <c r="B732" s="58"/>
    </row>
    <row r="733">
      <c r="A733" s="57"/>
      <c r="B733" s="58"/>
    </row>
    <row r="734">
      <c r="A734" s="57"/>
      <c r="B734" s="58"/>
    </row>
    <row r="735">
      <c r="A735" s="57"/>
      <c r="B735" s="58"/>
    </row>
    <row r="736">
      <c r="A736" s="57"/>
      <c r="B736" s="58"/>
    </row>
    <row r="737">
      <c r="A737" s="57"/>
      <c r="B737" s="58"/>
    </row>
    <row r="738">
      <c r="A738" s="57"/>
      <c r="B738" s="58"/>
    </row>
    <row r="739">
      <c r="A739" s="57"/>
      <c r="B739" s="58"/>
    </row>
    <row r="740">
      <c r="A740" s="57"/>
      <c r="B740" s="58"/>
    </row>
    <row r="741">
      <c r="A741" s="57"/>
      <c r="B741" s="58"/>
    </row>
    <row r="742">
      <c r="A742" s="57"/>
      <c r="B742" s="58"/>
    </row>
    <row r="743">
      <c r="A743" s="57"/>
      <c r="B743" s="58"/>
    </row>
    <row r="744">
      <c r="A744" s="57"/>
      <c r="B744" s="58"/>
    </row>
    <row r="745">
      <c r="A745" s="57"/>
      <c r="B745" s="58"/>
    </row>
    <row r="746">
      <c r="A746" s="57"/>
      <c r="B746" s="58"/>
    </row>
    <row r="747">
      <c r="A747" s="57"/>
      <c r="B747" s="58"/>
    </row>
    <row r="748">
      <c r="A748" s="57"/>
      <c r="B748" s="58"/>
    </row>
    <row r="749">
      <c r="A749" s="57"/>
      <c r="B749" s="58"/>
    </row>
    <row r="750">
      <c r="A750" s="57"/>
      <c r="B750" s="58"/>
    </row>
    <row r="751">
      <c r="A751" s="57"/>
      <c r="B751" s="58"/>
    </row>
    <row r="752">
      <c r="A752" s="57"/>
      <c r="B752" s="58"/>
    </row>
    <row r="753">
      <c r="A753" s="57"/>
      <c r="B753" s="58"/>
    </row>
    <row r="754">
      <c r="A754" s="57"/>
      <c r="B754" s="58"/>
    </row>
    <row r="755">
      <c r="A755" s="57"/>
      <c r="B755" s="58"/>
    </row>
    <row r="756">
      <c r="A756" s="57"/>
      <c r="B756" s="58"/>
    </row>
    <row r="757">
      <c r="A757" s="57"/>
      <c r="B757" s="58"/>
    </row>
    <row r="758">
      <c r="A758" s="57"/>
      <c r="B758" s="58"/>
    </row>
    <row r="759">
      <c r="A759" s="57"/>
      <c r="B759" s="58"/>
    </row>
    <row r="760">
      <c r="A760" s="57"/>
      <c r="B760" s="58"/>
    </row>
    <row r="761">
      <c r="A761" s="57"/>
      <c r="B761" s="58"/>
    </row>
    <row r="762">
      <c r="A762" s="57"/>
      <c r="B762" s="58"/>
    </row>
    <row r="763">
      <c r="A763" s="57"/>
      <c r="B763" s="58"/>
    </row>
    <row r="764">
      <c r="A764" s="57"/>
      <c r="B764" s="58"/>
    </row>
    <row r="765">
      <c r="A765" s="57"/>
      <c r="B765" s="58"/>
    </row>
    <row r="766">
      <c r="A766" s="57"/>
      <c r="B766" s="58"/>
    </row>
    <row r="767">
      <c r="A767" s="57"/>
      <c r="B767" s="58"/>
    </row>
    <row r="768">
      <c r="A768" s="57"/>
      <c r="B768" s="58"/>
    </row>
    <row r="769">
      <c r="A769" s="57"/>
      <c r="B769" s="58"/>
    </row>
    <row r="770">
      <c r="A770" s="57"/>
      <c r="B770" s="58"/>
    </row>
    <row r="771">
      <c r="A771" s="57"/>
      <c r="B771" s="58"/>
    </row>
    <row r="772">
      <c r="A772" s="57"/>
      <c r="B772" s="58"/>
    </row>
    <row r="773">
      <c r="A773" s="57"/>
      <c r="B773" s="58"/>
    </row>
    <row r="774">
      <c r="A774" s="57"/>
      <c r="B774" s="58"/>
    </row>
    <row r="775">
      <c r="A775" s="57"/>
      <c r="B775" s="58"/>
    </row>
    <row r="776">
      <c r="A776" s="57"/>
      <c r="B776" s="58"/>
    </row>
    <row r="777">
      <c r="A777" s="57"/>
      <c r="B777" s="58"/>
    </row>
    <row r="778">
      <c r="A778" s="57"/>
      <c r="B778" s="58"/>
    </row>
    <row r="779">
      <c r="A779" s="57"/>
      <c r="B779" s="58"/>
    </row>
    <row r="780">
      <c r="A780" s="57"/>
      <c r="B780" s="58"/>
    </row>
    <row r="781">
      <c r="A781" s="57"/>
      <c r="B781" s="58"/>
    </row>
    <row r="782">
      <c r="A782" s="57"/>
      <c r="B782" s="58"/>
    </row>
    <row r="783">
      <c r="A783" s="57"/>
      <c r="B783" s="58"/>
    </row>
    <row r="784">
      <c r="A784" s="57"/>
      <c r="B784" s="58"/>
    </row>
    <row r="785">
      <c r="A785" s="57"/>
      <c r="B785" s="58"/>
    </row>
    <row r="786">
      <c r="A786" s="57"/>
      <c r="B786" s="58"/>
    </row>
    <row r="787">
      <c r="A787" s="57"/>
      <c r="B787" s="58"/>
    </row>
    <row r="788">
      <c r="A788" s="57"/>
      <c r="B788" s="58"/>
    </row>
    <row r="789">
      <c r="A789" s="57"/>
      <c r="B789" s="58"/>
    </row>
    <row r="790">
      <c r="A790" s="57"/>
      <c r="B790" s="58"/>
    </row>
    <row r="791">
      <c r="A791" s="57"/>
      <c r="B791" s="58"/>
    </row>
    <row r="792">
      <c r="A792" s="57"/>
      <c r="B792" s="58"/>
    </row>
    <row r="793">
      <c r="A793" s="57"/>
      <c r="B793" s="58"/>
    </row>
    <row r="794">
      <c r="A794" s="57"/>
      <c r="B794" s="58"/>
    </row>
    <row r="795">
      <c r="A795" s="57"/>
      <c r="B795" s="58"/>
    </row>
    <row r="796">
      <c r="A796" s="57"/>
      <c r="B796" s="58"/>
    </row>
    <row r="797">
      <c r="A797" s="57"/>
      <c r="B797" s="58"/>
    </row>
    <row r="798">
      <c r="A798" s="57"/>
      <c r="B798" s="58"/>
    </row>
    <row r="799">
      <c r="A799" s="57"/>
      <c r="B799" s="58"/>
    </row>
    <row r="800">
      <c r="A800" s="57"/>
      <c r="B800" s="58"/>
    </row>
    <row r="801">
      <c r="A801" s="57"/>
      <c r="B801" s="58"/>
    </row>
    <row r="802">
      <c r="A802" s="57"/>
      <c r="B802" s="58"/>
    </row>
    <row r="803">
      <c r="A803" s="57"/>
      <c r="B803" s="58"/>
    </row>
    <row r="804">
      <c r="A804" s="57"/>
      <c r="B804" s="58"/>
    </row>
    <row r="805">
      <c r="A805" s="57"/>
      <c r="B805" s="58"/>
    </row>
    <row r="806">
      <c r="A806" s="57"/>
      <c r="B806" s="58"/>
    </row>
    <row r="807">
      <c r="A807" s="57"/>
      <c r="B807" s="58"/>
    </row>
    <row r="808">
      <c r="A808" s="57"/>
      <c r="B808" s="58"/>
    </row>
    <row r="809">
      <c r="A809" s="57"/>
      <c r="B809" s="58"/>
    </row>
    <row r="810">
      <c r="A810" s="57"/>
      <c r="B810" s="58"/>
    </row>
    <row r="811">
      <c r="A811" s="57"/>
      <c r="B811" s="58"/>
    </row>
    <row r="812">
      <c r="A812" s="57"/>
      <c r="B812" s="58"/>
    </row>
    <row r="813">
      <c r="A813" s="57"/>
      <c r="B813" s="58"/>
    </row>
    <row r="814">
      <c r="A814" s="57"/>
      <c r="B814" s="58"/>
    </row>
    <row r="815">
      <c r="A815" s="57"/>
      <c r="B815" s="58"/>
    </row>
    <row r="816">
      <c r="A816" s="57"/>
      <c r="B816" s="58"/>
    </row>
    <row r="817">
      <c r="A817" s="57"/>
      <c r="B817" s="58"/>
    </row>
    <row r="818">
      <c r="A818" s="57"/>
      <c r="B818" s="58"/>
    </row>
    <row r="819">
      <c r="A819" s="57"/>
      <c r="B819" s="58"/>
    </row>
    <row r="820">
      <c r="A820" s="57"/>
      <c r="B820" s="58"/>
    </row>
    <row r="821">
      <c r="A821" s="57"/>
      <c r="B821" s="58"/>
    </row>
    <row r="822">
      <c r="A822" s="57"/>
      <c r="B822" s="58"/>
    </row>
    <row r="823">
      <c r="A823" s="57"/>
      <c r="B823" s="58"/>
    </row>
    <row r="824">
      <c r="A824" s="57"/>
      <c r="B824" s="58"/>
    </row>
    <row r="825">
      <c r="A825" s="57"/>
      <c r="B825" s="58"/>
    </row>
    <row r="826">
      <c r="A826" s="57"/>
      <c r="B826" s="58"/>
    </row>
    <row r="827">
      <c r="A827" s="57"/>
      <c r="B827" s="58"/>
    </row>
    <row r="828">
      <c r="A828" s="57"/>
      <c r="B828" s="58"/>
    </row>
    <row r="829">
      <c r="A829" s="57"/>
      <c r="B829" s="58"/>
    </row>
    <row r="830">
      <c r="A830" s="57"/>
      <c r="B830" s="58"/>
    </row>
    <row r="831">
      <c r="A831" s="57"/>
      <c r="B831" s="58"/>
    </row>
    <row r="832">
      <c r="A832" s="57"/>
      <c r="B832" s="58"/>
    </row>
    <row r="833">
      <c r="A833" s="57"/>
      <c r="B833" s="58"/>
    </row>
    <row r="834">
      <c r="A834" s="57"/>
      <c r="B834" s="58"/>
    </row>
    <row r="835">
      <c r="A835" s="57"/>
      <c r="B835" s="58"/>
    </row>
    <row r="836">
      <c r="A836" s="57"/>
      <c r="B836" s="58"/>
    </row>
    <row r="837">
      <c r="A837" s="57"/>
      <c r="B837" s="58"/>
    </row>
    <row r="838">
      <c r="A838" s="57"/>
      <c r="B838" s="58"/>
    </row>
    <row r="839">
      <c r="A839" s="57"/>
      <c r="B839" s="58"/>
    </row>
    <row r="840">
      <c r="A840" s="57"/>
      <c r="B840" s="58"/>
    </row>
    <row r="841">
      <c r="A841" s="57"/>
      <c r="B841" s="58"/>
    </row>
    <row r="842">
      <c r="A842" s="57"/>
      <c r="B842" s="58"/>
    </row>
    <row r="843">
      <c r="A843" s="57"/>
      <c r="B843" s="58"/>
    </row>
    <row r="844">
      <c r="A844" s="57"/>
      <c r="B844" s="58"/>
    </row>
    <row r="845">
      <c r="A845" s="57"/>
      <c r="B845" s="58"/>
    </row>
    <row r="846">
      <c r="A846" s="57"/>
      <c r="B846" s="58"/>
    </row>
    <row r="847">
      <c r="A847" s="57"/>
      <c r="B847" s="58"/>
    </row>
    <row r="848">
      <c r="A848" s="57"/>
      <c r="B848" s="58"/>
    </row>
    <row r="849">
      <c r="A849" s="57"/>
      <c r="B849" s="58"/>
    </row>
    <row r="850">
      <c r="A850" s="57"/>
      <c r="B850" s="58"/>
    </row>
    <row r="851">
      <c r="A851" s="57"/>
      <c r="B851" s="58"/>
    </row>
    <row r="852">
      <c r="A852" s="57"/>
      <c r="B852" s="58"/>
    </row>
    <row r="853">
      <c r="A853" s="57"/>
      <c r="B853" s="58"/>
    </row>
    <row r="854">
      <c r="A854" s="57"/>
      <c r="B854" s="58"/>
    </row>
    <row r="855">
      <c r="A855" s="57"/>
      <c r="B855" s="58"/>
    </row>
    <row r="856">
      <c r="A856" s="57"/>
      <c r="B856" s="58"/>
    </row>
    <row r="857">
      <c r="A857" s="57"/>
      <c r="B857" s="58"/>
    </row>
    <row r="858">
      <c r="A858" s="57"/>
      <c r="B858" s="58"/>
    </row>
    <row r="859">
      <c r="A859" s="57"/>
      <c r="B859" s="58"/>
    </row>
    <row r="860">
      <c r="A860" s="57"/>
      <c r="B860" s="58"/>
    </row>
    <row r="861">
      <c r="A861" s="57"/>
      <c r="B861" s="58"/>
    </row>
    <row r="862">
      <c r="A862" s="57"/>
      <c r="B862" s="58"/>
    </row>
    <row r="863">
      <c r="A863" s="57"/>
      <c r="B863" s="58"/>
    </row>
    <row r="864">
      <c r="A864" s="57"/>
      <c r="B864" s="58"/>
    </row>
    <row r="865">
      <c r="A865" s="57"/>
      <c r="B865" s="58"/>
    </row>
    <row r="866">
      <c r="A866" s="57"/>
      <c r="B866" s="58"/>
    </row>
    <row r="867">
      <c r="A867" s="57"/>
      <c r="B867" s="58"/>
    </row>
    <row r="868">
      <c r="A868" s="57"/>
      <c r="B868" s="58"/>
    </row>
    <row r="869">
      <c r="A869" s="57"/>
      <c r="B869" s="58"/>
    </row>
    <row r="870">
      <c r="A870" s="57"/>
      <c r="B870" s="58"/>
    </row>
    <row r="871">
      <c r="A871" s="57"/>
      <c r="B871" s="58"/>
    </row>
    <row r="872">
      <c r="A872" s="57"/>
      <c r="B872" s="58"/>
    </row>
    <row r="873">
      <c r="A873" s="57"/>
      <c r="B873" s="58"/>
    </row>
    <row r="874">
      <c r="A874" s="57"/>
      <c r="B874" s="58"/>
    </row>
    <row r="875">
      <c r="A875" s="57"/>
      <c r="B875" s="58"/>
    </row>
    <row r="876">
      <c r="A876" s="57"/>
      <c r="B876" s="58"/>
    </row>
    <row r="877">
      <c r="A877" s="57"/>
      <c r="B877" s="58"/>
    </row>
    <row r="878">
      <c r="A878" s="57"/>
      <c r="B878" s="58"/>
    </row>
    <row r="879">
      <c r="A879" s="57"/>
      <c r="B879" s="58"/>
    </row>
    <row r="880">
      <c r="A880" s="57"/>
      <c r="B880" s="58"/>
    </row>
    <row r="881">
      <c r="A881" s="57"/>
      <c r="B881" s="58"/>
    </row>
    <row r="882">
      <c r="A882" s="57"/>
      <c r="B882" s="58"/>
    </row>
    <row r="883">
      <c r="A883" s="57"/>
      <c r="B883" s="58"/>
    </row>
    <row r="884">
      <c r="A884" s="57"/>
      <c r="B884" s="58"/>
    </row>
    <row r="885">
      <c r="A885" s="57"/>
      <c r="B885" s="58"/>
    </row>
    <row r="886">
      <c r="A886" s="57"/>
      <c r="B886" s="58"/>
    </row>
    <row r="887">
      <c r="A887" s="57"/>
      <c r="B887" s="58"/>
    </row>
    <row r="888">
      <c r="A888" s="57"/>
      <c r="B888" s="58"/>
    </row>
    <row r="889">
      <c r="A889" s="57"/>
      <c r="B889" s="58"/>
    </row>
    <row r="890">
      <c r="A890" s="57"/>
      <c r="B890" s="58"/>
    </row>
    <row r="891">
      <c r="A891" s="57"/>
      <c r="B891" s="58"/>
    </row>
    <row r="892">
      <c r="A892" s="57"/>
      <c r="B892" s="58"/>
    </row>
    <row r="893">
      <c r="A893" s="57"/>
      <c r="B893" s="58"/>
    </row>
    <row r="894">
      <c r="A894" s="57"/>
      <c r="B894" s="58"/>
    </row>
    <row r="895">
      <c r="A895" s="57"/>
      <c r="B895" s="58"/>
    </row>
    <row r="896">
      <c r="A896" s="57"/>
      <c r="B896" s="58"/>
    </row>
    <row r="897">
      <c r="A897" s="57"/>
      <c r="B897" s="58"/>
    </row>
    <row r="898">
      <c r="A898" s="57"/>
      <c r="B898" s="58"/>
    </row>
    <row r="899">
      <c r="A899" s="57"/>
      <c r="B899" s="58"/>
    </row>
    <row r="900">
      <c r="A900" s="57"/>
      <c r="B900" s="58"/>
    </row>
    <row r="901">
      <c r="A901" s="57"/>
      <c r="B901" s="58"/>
    </row>
    <row r="902">
      <c r="A902" s="57"/>
      <c r="B902" s="58"/>
    </row>
    <row r="903">
      <c r="A903" s="57"/>
      <c r="B903" s="58"/>
    </row>
    <row r="904">
      <c r="A904" s="57"/>
      <c r="B904" s="58"/>
    </row>
    <row r="905">
      <c r="A905" s="57"/>
      <c r="B905" s="58"/>
    </row>
    <row r="906">
      <c r="A906" s="57"/>
      <c r="B906" s="58"/>
    </row>
    <row r="907">
      <c r="A907" s="57"/>
      <c r="B907" s="58"/>
    </row>
    <row r="908">
      <c r="A908" s="57"/>
      <c r="B908" s="58"/>
    </row>
    <row r="909">
      <c r="A909" s="57"/>
      <c r="B909" s="58"/>
    </row>
    <row r="910">
      <c r="A910" s="57"/>
      <c r="B910" s="58"/>
    </row>
    <row r="911">
      <c r="A911" s="57"/>
      <c r="B911" s="58"/>
    </row>
    <row r="912">
      <c r="A912" s="57"/>
      <c r="B912" s="58"/>
    </row>
    <row r="913">
      <c r="A913" s="57"/>
      <c r="B913" s="58"/>
    </row>
    <row r="914">
      <c r="A914" s="57"/>
      <c r="B914" s="58"/>
    </row>
    <row r="915">
      <c r="A915" s="57"/>
      <c r="B915" s="58"/>
    </row>
    <row r="916">
      <c r="A916" s="57"/>
      <c r="B916" s="58"/>
    </row>
    <row r="917">
      <c r="A917" s="57"/>
      <c r="B917" s="58"/>
    </row>
    <row r="918">
      <c r="A918" s="57"/>
      <c r="B918" s="58"/>
    </row>
    <row r="919">
      <c r="A919" s="57"/>
      <c r="B919" s="58"/>
    </row>
    <row r="920">
      <c r="A920" s="57"/>
      <c r="B920" s="58"/>
    </row>
    <row r="921">
      <c r="A921" s="57"/>
      <c r="B921" s="58"/>
    </row>
    <row r="922">
      <c r="A922" s="57"/>
      <c r="B922" s="58"/>
    </row>
    <row r="923">
      <c r="A923" s="57"/>
      <c r="B923" s="58"/>
    </row>
    <row r="924">
      <c r="A924" s="57"/>
      <c r="B924" s="58"/>
    </row>
    <row r="925">
      <c r="A925" s="57"/>
      <c r="B925" s="58"/>
    </row>
    <row r="926">
      <c r="A926" s="57"/>
      <c r="B926" s="58"/>
    </row>
    <row r="927">
      <c r="A927" s="57"/>
      <c r="B927" s="58"/>
    </row>
    <row r="928">
      <c r="A928" s="57"/>
      <c r="B928" s="58"/>
    </row>
    <row r="929">
      <c r="A929" s="57"/>
      <c r="B929" s="58"/>
    </row>
    <row r="930">
      <c r="A930" s="57"/>
      <c r="B930" s="58"/>
    </row>
    <row r="931">
      <c r="A931" s="57"/>
      <c r="B931" s="58"/>
    </row>
    <row r="932">
      <c r="A932" s="57"/>
      <c r="B932" s="58"/>
    </row>
    <row r="933">
      <c r="A933" s="57"/>
      <c r="B933" s="58"/>
    </row>
    <row r="934">
      <c r="A934" s="57"/>
      <c r="B934" s="58"/>
    </row>
    <row r="935">
      <c r="A935" s="57"/>
      <c r="B935" s="58"/>
    </row>
    <row r="936">
      <c r="A936" s="57"/>
      <c r="B936" s="58"/>
    </row>
    <row r="937">
      <c r="A937" s="57"/>
      <c r="B937" s="58"/>
    </row>
    <row r="938">
      <c r="A938" s="57"/>
      <c r="B938" s="58"/>
    </row>
    <row r="939">
      <c r="A939" s="57"/>
      <c r="B939" s="58"/>
    </row>
    <row r="940">
      <c r="A940" s="57"/>
      <c r="B940" s="58"/>
    </row>
    <row r="941">
      <c r="A941" s="57"/>
      <c r="B941" s="58"/>
    </row>
    <row r="942">
      <c r="A942" s="57"/>
      <c r="B942" s="58"/>
    </row>
    <row r="943">
      <c r="A943" s="57"/>
      <c r="B943" s="58"/>
    </row>
    <row r="944">
      <c r="A944" s="57"/>
      <c r="B944" s="58"/>
    </row>
    <row r="945">
      <c r="A945" s="57"/>
      <c r="B945" s="58"/>
    </row>
    <row r="946">
      <c r="A946" s="57"/>
      <c r="B946" s="58"/>
    </row>
    <row r="947">
      <c r="A947" s="57"/>
      <c r="B947" s="58"/>
    </row>
    <row r="948">
      <c r="A948" s="57"/>
      <c r="B948" s="58"/>
    </row>
    <row r="949">
      <c r="A949" s="57"/>
      <c r="B949" s="58"/>
    </row>
    <row r="950">
      <c r="A950" s="57"/>
      <c r="B950" s="58"/>
    </row>
    <row r="951">
      <c r="A951" s="57"/>
      <c r="B951" s="58"/>
    </row>
    <row r="952">
      <c r="A952" s="57"/>
      <c r="B952" s="58"/>
    </row>
    <row r="953">
      <c r="A953" s="57"/>
      <c r="B953" s="58"/>
    </row>
    <row r="954">
      <c r="A954" s="57"/>
      <c r="B954" s="58"/>
    </row>
    <row r="955">
      <c r="A955" s="57"/>
      <c r="B955" s="58"/>
    </row>
    <row r="956">
      <c r="A956" s="57"/>
      <c r="B956" s="58"/>
    </row>
    <row r="957">
      <c r="A957" s="57"/>
      <c r="B957" s="58"/>
    </row>
    <row r="958">
      <c r="A958" s="57"/>
      <c r="B958" s="58"/>
    </row>
    <row r="959">
      <c r="A959" s="57"/>
      <c r="B959" s="58"/>
    </row>
    <row r="960">
      <c r="A960" s="57"/>
      <c r="B960" s="58"/>
    </row>
    <row r="961">
      <c r="A961" s="57"/>
      <c r="B961" s="58"/>
    </row>
    <row r="962">
      <c r="A962" s="57"/>
      <c r="B962" s="58"/>
    </row>
    <row r="963">
      <c r="A963" s="57"/>
      <c r="B963" s="58"/>
    </row>
    <row r="964">
      <c r="A964" s="57"/>
      <c r="B964" s="58"/>
    </row>
    <row r="965">
      <c r="A965" s="57"/>
      <c r="B965" s="58"/>
    </row>
    <row r="966">
      <c r="A966" s="57"/>
      <c r="B966" s="58"/>
    </row>
    <row r="967">
      <c r="A967" s="57"/>
      <c r="B967" s="58"/>
    </row>
    <row r="968">
      <c r="A968" s="57"/>
      <c r="B968" s="58"/>
    </row>
    <row r="969">
      <c r="A969" s="57"/>
      <c r="B969" s="58"/>
    </row>
    <row r="970">
      <c r="A970" s="57"/>
      <c r="B970" s="58"/>
    </row>
    <row r="971">
      <c r="A971" s="57"/>
      <c r="B971" s="58"/>
    </row>
    <row r="972">
      <c r="A972" s="57"/>
      <c r="B972" s="58"/>
    </row>
    <row r="973">
      <c r="A973" s="57"/>
      <c r="B973" s="58"/>
    </row>
    <row r="974">
      <c r="A974" s="57"/>
      <c r="B974" s="58"/>
    </row>
    <row r="975">
      <c r="A975" s="57"/>
      <c r="B975" s="58"/>
    </row>
    <row r="976">
      <c r="A976" s="57"/>
      <c r="B976" s="58"/>
    </row>
    <row r="977">
      <c r="A977" s="57"/>
      <c r="B977" s="58"/>
    </row>
    <row r="978">
      <c r="A978" s="57"/>
      <c r="B978" s="58"/>
    </row>
    <row r="979">
      <c r="A979" s="57"/>
      <c r="B979" s="58"/>
    </row>
    <row r="980">
      <c r="A980" s="57"/>
      <c r="B980" s="58"/>
    </row>
    <row r="981">
      <c r="A981" s="57"/>
      <c r="B981" s="58"/>
    </row>
    <row r="982">
      <c r="A982" s="57"/>
      <c r="B982" s="58"/>
    </row>
    <row r="983">
      <c r="A983" s="57"/>
      <c r="B983" s="58"/>
    </row>
    <row r="984">
      <c r="A984" s="57"/>
      <c r="B984" s="58"/>
    </row>
    <row r="985">
      <c r="A985" s="57"/>
      <c r="B985" s="58"/>
    </row>
    <row r="986">
      <c r="A986" s="57"/>
      <c r="B986" s="58"/>
    </row>
    <row r="987">
      <c r="A987" s="57"/>
      <c r="B987" s="58"/>
    </row>
    <row r="988">
      <c r="A988" s="57"/>
      <c r="B988" s="58"/>
    </row>
    <row r="989">
      <c r="A989" s="57"/>
      <c r="B989" s="58"/>
    </row>
    <row r="990">
      <c r="A990" s="57"/>
      <c r="B990" s="58"/>
    </row>
    <row r="991">
      <c r="A991" s="57"/>
      <c r="B991" s="58"/>
    </row>
    <row r="992">
      <c r="A992" s="57"/>
      <c r="B992" s="58"/>
    </row>
    <row r="993">
      <c r="A993" s="57"/>
      <c r="B993" s="58"/>
    </row>
    <row r="994">
      <c r="A994" s="57"/>
      <c r="B994" s="58"/>
    </row>
    <row r="995">
      <c r="A995" s="57"/>
      <c r="B995" s="58"/>
    </row>
    <row r="996">
      <c r="A996" s="57"/>
      <c r="B996" s="58"/>
    </row>
    <row r="997">
      <c r="A997" s="57"/>
      <c r="B997" s="58"/>
    </row>
    <row r="998">
      <c r="A998" s="57"/>
      <c r="B998" s="58"/>
    </row>
    <row r="999">
      <c r="A999" s="57"/>
      <c r="B999" s="58"/>
    </row>
    <row r="1000">
      <c r="A1000" s="57"/>
      <c r="B1000" s="58"/>
    </row>
    <row r="1001">
      <c r="A1001" s="57"/>
      <c r="B1001" s="58"/>
    </row>
    <row r="1002">
      <c r="A1002" s="57"/>
      <c r="B1002" s="58"/>
    </row>
    <row r="1003">
      <c r="A1003" s="57"/>
      <c r="B1003" s="58"/>
    </row>
    <row r="1004">
      <c r="A1004" s="57"/>
      <c r="B1004" s="58"/>
    </row>
  </sheetData>
  <drawing r:id="rId1"/>
</worksheet>
</file>