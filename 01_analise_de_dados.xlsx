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vídeo 2.2" sheetId="2" r:id="rId5"/>
    <sheet state="visible" name="tendencia" sheetId="3" r:id="rId6"/>
    <sheet state="visible" name="nulos e faltantes" sheetId="4" r:id="rId7"/>
    <sheet state="visible" name="variancia" sheetId="5" r:id="rId8"/>
    <sheet state="visible" name="DataVendas" sheetId="6" r:id="rId9"/>
    <sheet state="visible" name="sazionalidade" sheetId="7" r:id="rId10"/>
    <sheet state="visible" name="vídeo 5.2" sheetId="8" r:id="rId11"/>
    <sheet state="visible" name="vídeo 5.3" sheetId="9" r:id="rId12"/>
    <sheet state="visible" name="conversion" sheetId="10" r:id="rId13"/>
  </sheets>
  <definedNames/>
  <calcPr/>
</workbook>
</file>

<file path=xl/sharedStrings.xml><?xml version="1.0" encoding="utf-8"?>
<sst xmlns="http://schemas.openxmlformats.org/spreadsheetml/2006/main" count="72" uniqueCount="58">
  <si>
    <t>Livros</t>
  </si>
  <si>
    <t>Quantidade</t>
  </si>
  <si>
    <t>Preço</t>
  </si>
  <si>
    <t>Venda</t>
  </si>
  <si>
    <t>Harry Potter e a Pedra Filosofal</t>
  </si>
  <si>
    <t>Harry Potter e a camara Secreta</t>
  </si>
  <si>
    <t>Harry Potter e o Prisioneiro de Azkaban</t>
  </si>
  <si>
    <t>Harry Potter e o calice de Fogo</t>
  </si>
  <si>
    <t>Harry Potter e a Ordem da fenix</t>
  </si>
  <si>
    <t>Harry Potter e o Enigma do Principe</t>
  </si>
  <si>
    <t>Harry Potter e as Reli­quias da Morte</t>
  </si>
  <si>
    <t>O Hobbit</t>
  </si>
  <si>
    <t>Senhor do Aneis - A sociedade do Anel</t>
  </si>
  <si>
    <t>Senhor dos Aneis - As duas torres</t>
  </si>
  <si>
    <t>Senhor dos Aneis - O retorno do Rei</t>
  </si>
  <si>
    <t>Don Quixote</t>
  </si>
  <si>
    <t>Um conto de duas cidades</t>
  </si>
  <si>
    <t>O Pequeno Principe</t>
  </si>
  <si>
    <t>O caso dos dez Negrinhos</t>
  </si>
  <si>
    <t>O sonho da camara vermelha</t>
  </si>
  <si>
    <t>Ela, a Feiticeira</t>
  </si>
  <si>
    <t>O leao, a Feiticeira, e o guarda-roupa</t>
  </si>
  <si>
    <t>O codigo da Vinci</t>
  </si>
  <si>
    <t>Total</t>
  </si>
  <si>
    <t>Estilo</t>
  </si>
  <si>
    <t>Vendas</t>
  </si>
  <si>
    <t>Romance</t>
  </si>
  <si>
    <t>Auto-ajuda</t>
  </si>
  <si>
    <t>Ficção</t>
  </si>
  <si>
    <t>Estrangeiros</t>
  </si>
  <si>
    <t>Direito</t>
  </si>
  <si>
    <t>Semanas</t>
  </si>
  <si>
    <t>Velocidade</t>
  </si>
  <si>
    <t>Aceleracao</t>
  </si>
  <si>
    <t>Data</t>
  </si>
  <si>
    <t>Acessos</t>
  </si>
  <si>
    <t>is number</t>
  </si>
  <si>
    <t>interpolarization</t>
  </si>
  <si>
    <t>Número de livros vendidos</t>
  </si>
  <si>
    <t>media</t>
  </si>
  <si>
    <t>media movel 3d</t>
  </si>
  <si>
    <t>media movel 7d</t>
  </si>
  <si>
    <t>variancia</t>
  </si>
  <si>
    <t>(variancia)2</t>
  </si>
  <si>
    <t>media da variancia</t>
  </si>
  <si>
    <t>desvio padrao</t>
  </si>
  <si>
    <t>Mês</t>
  </si>
  <si>
    <t>Vendas em R$</t>
  </si>
  <si>
    <t>Dias úteis</t>
  </si>
  <si>
    <t>vendas por Dias úteis</t>
  </si>
  <si>
    <t>Número de FDS</t>
  </si>
  <si>
    <t>acessos por FDS</t>
  </si>
  <si>
    <t>velocidade acessos</t>
  </si>
  <si>
    <t>aceleracao</t>
  </si>
  <si>
    <t>Vendas por dias úteis</t>
  </si>
  <si>
    <t>velocidade aumento vendas</t>
  </si>
  <si>
    <t>Meses</t>
  </si>
  <si>
    <t>conversion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</si>
</sst>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dd/mm/yyyy"/>
    <numFmt numFmtId="166" formatCode="0.0%"/>
    <numFmt numFmtId="167" formatCode="mmmm/yyyy"/>
  </numFmts>
  <fonts count="10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sz val="14.0"/>
      <color rgb="FFFFFFFF"/>
      <name val="Arial"/>
      <scheme val="minor"/>
    </font>
    <font>
      <color rgb="FFFFFFFF"/>
      <name val="Arial"/>
      <scheme val="minor"/>
    </font>
    <font>
      <color rgb="FFFFFFFF"/>
      <name val="Arial"/>
    </font>
    <font>
      <color theme="1"/>
      <name val="Arial"/>
    </font>
    <font>
      <b/>
      <color rgb="FFB7B7B7"/>
      <name val="Arial"/>
    </font>
    <font>
      <b/>
      <sz val="12.0"/>
      <color theme="1"/>
      <name val="Arial"/>
    </font>
    <font>
      <b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0000FF"/>
        <bgColor rgb="FF0000FF"/>
      </patternFill>
    </fill>
    <fill>
      <patternFill patternType="solid">
        <fgColor rgb="FF38761D"/>
        <bgColor rgb="FF38761D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2" numFmtId="164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2" fontId="3" numFmtId="164" xfId="0" applyAlignment="1" applyFont="1" applyNumberFormat="1">
      <alignment readingOrder="0"/>
    </xf>
    <xf borderId="0" fillId="0" fontId="4" numFmtId="0" xfId="0" applyFont="1"/>
    <xf borderId="0" fillId="4" fontId="5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4" fontId="5" numFmtId="164" xfId="0" applyAlignment="1" applyFont="1" applyNumberFormat="1">
      <alignment readingOrder="0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5" fontId="7" numFmtId="0" xfId="0" applyAlignment="1" applyFill="1" applyFont="1">
      <alignment horizontal="center" vertical="bottom"/>
    </xf>
    <xf borderId="0" fillId="0" fontId="6" numFmtId="165" xfId="0" applyAlignment="1" applyFont="1" applyNumberFormat="1">
      <alignment horizontal="right" vertical="bottom"/>
    </xf>
    <xf borderId="0" fillId="0" fontId="2" numFmtId="0" xfId="0" applyFont="1"/>
    <xf borderId="0" fillId="0" fontId="6" numFmtId="0" xfId="0" applyAlignment="1" applyFont="1">
      <alignment horizontal="center" vertical="bottom"/>
    </xf>
    <xf borderId="0" fillId="6" fontId="8" numFmtId="0" xfId="0" applyAlignment="1" applyFill="1" applyFont="1">
      <alignment horizontal="center"/>
    </xf>
    <xf borderId="0" fillId="6" fontId="8" numFmtId="0" xfId="0" applyAlignment="1" applyFont="1">
      <alignment horizontal="center" readingOrder="0"/>
    </xf>
    <xf borderId="0" fillId="0" fontId="6" numFmtId="165" xfId="0" applyFont="1" applyNumberFormat="1"/>
    <xf borderId="0" fillId="0" fontId="6" numFmtId="0" xfId="0" applyFont="1"/>
    <xf borderId="0" fillId="7" fontId="6" numFmtId="0" xfId="0" applyAlignment="1" applyFill="1" applyFont="1">
      <alignment horizontal="center" vertical="bottom"/>
    </xf>
    <xf borderId="0" fillId="8" fontId="9" numFmtId="0" xfId="0" applyAlignment="1" applyFill="1" applyFont="1">
      <alignment vertical="bottom"/>
    </xf>
    <xf borderId="0" fillId="8" fontId="9" numFmtId="2" xfId="0" applyAlignment="1" applyFont="1" applyNumberFormat="1">
      <alignment readingOrder="0" vertical="bottom"/>
    </xf>
    <xf borderId="0" fillId="0" fontId="2" numFmtId="2" xfId="0" applyFont="1" applyNumberFormat="1"/>
    <xf borderId="0" fillId="5" fontId="7" numFmtId="0" xfId="0" applyAlignment="1" applyFont="1">
      <alignment vertical="bottom"/>
    </xf>
    <xf borderId="0" fillId="5" fontId="7" numFmtId="0" xfId="0" applyAlignment="1" applyFont="1">
      <alignment readingOrder="0" vertical="bottom"/>
    </xf>
    <xf borderId="0" fillId="0" fontId="2" numFmtId="1" xfId="0" applyFont="1" applyNumberFormat="1"/>
    <xf borderId="0" fillId="8" fontId="9" numFmtId="0" xfId="0" applyAlignment="1" applyFont="1">
      <alignment readingOrder="0" vertical="bottom"/>
    </xf>
    <xf borderId="0" fillId="0" fontId="6" numFmtId="2" xfId="0" applyFont="1" applyNumberFormat="1"/>
    <xf borderId="0" fillId="8" fontId="9" numFmtId="166" xfId="0" applyAlignment="1" applyFont="1" applyNumberFormat="1">
      <alignment readingOrder="0" vertical="bottom"/>
    </xf>
    <xf borderId="0" fillId="0" fontId="6" numFmtId="167" xfId="0" applyAlignment="1" applyFont="1" applyNumberFormat="1">
      <alignment horizontal="right" vertical="bottom"/>
    </xf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Sheet1!$A$2:$A$21</c:f>
            </c:strRef>
          </c:cat>
          <c:val>
            <c:numRef>
              <c:f>Sheet1!$B$2:$B$21</c:f>
              <c:numCache/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Sheet1!$A$2:$A$21</c:f>
            </c:strRef>
          </c:cat>
          <c:val>
            <c:numRef>
              <c:f>Sheet1!$C$2:$C$21</c:f>
              <c:numCache/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Sheet1!$A$2:$A$21</c:f>
            </c:strRef>
          </c:cat>
          <c:val>
            <c:numRef>
              <c:f>Sheet1!$D$2:$D$21</c:f>
              <c:numCache/>
            </c:numRef>
          </c:val>
        </c:ser>
        <c:axId val="1647189103"/>
        <c:axId val="131588065"/>
      </c:barChart>
      <c:catAx>
        <c:axId val="1647189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588065"/>
      </c:catAx>
      <c:valAx>
        <c:axId val="1315880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71891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Livros vendidos por genero literario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'vídeo 2.2'!$B$1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'vídeo 2.2'!$A$2:$A$6</c:f>
            </c:strRef>
          </c:cat>
          <c:val>
            <c:numRef>
              <c:f>'vídeo 2.2'!$B$2:$B$6</c:f>
              <c:numCache/>
            </c:numRef>
          </c:val>
        </c:ser>
        <c:axId val="1820562474"/>
        <c:axId val="504581778"/>
      </c:barChart>
      <c:catAx>
        <c:axId val="18205624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Genero literario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4581778"/>
      </c:catAx>
      <c:valAx>
        <c:axId val="5045817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056247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Volume das vendas ao longo das semanas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tendencia!$B$1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3810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tendencia!$A$2:$A$15</c:f>
            </c:strRef>
          </c:cat>
          <c:val>
            <c:numRef>
              <c:f>tendencia!$B$2:$B$15</c:f>
              <c:numCache/>
            </c:numRef>
          </c:val>
          <c:smooth val="0"/>
        </c:ser>
        <c:axId val="19752412"/>
        <c:axId val="793714281"/>
      </c:lineChart>
      <c:catAx>
        <c:axId val="19752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3714281"/>
      </c:catAx>
      <c:valAx>
        <c:axId val="7937142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524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Velocidade das vendas ao longo das semanas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tendencia!$C$1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tendencia!$A$2:$A$15</c:f>
            </c:strRef>
          </c:cat>
          <c:val>
            <c:numRef>
              <c:f>tendencia!$C$2:$C$15</c:f>
              <c:numCache/>
            </c:numRef>
          </c:val>
          <c:smooth val="0"/>
        </c:ser>
        <c:axId val="52669407"/>
        <c:axId val="2059165855"/>
      </c:lineChart>
      <c:catAx>
        <c:axId val="52669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9165855"/>
      </c:catAx>
      <c:valAx>
        <c:axId val="20591658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6694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Aceleracao das vendas ao longo das semanas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tendencia!$D$1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tendencia!$A$2:$A$15</c:f>
            </c:strRef>
          </c:cat>
          <c:val>
            <c:numRef>
              <c:f>tendencia!$D$2:$D$15</c:f>
              <c:numCache/>
            </c:numRef>
          </c:val>
          <c:smooth val="0"/>
        </c:ser>
        <c:axId val="1382395274"/>
        <c:axId val="396690514"/>
      </c:lineChart>
      <c:catAx>
        <c:axId val="1382395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690514"/>
      </c:catAx>
      <c:valAx>
        <c:axId val="396690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Aceleracao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23952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interpolarization vs. Data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'nulos e faltantes'!$D$1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'nulos e faltantes'!$A$2:$A$47</c:f>
            </c:strRef>
          </c:cat>
          <c:val>
            <c:numRef>
              <c:f>'nulos e faltantes'!$D$2:$D$47</c:f>
              <c:numCache/>
            </c:numRef>
          </c:val>
          <c:smooth val="0"/>
        </c:ser>
        <c:axId val="1438813381"/>
        <c:axId val="1505464691"/>
      </c:lineChart>
      <c:catAx>
        <c:axId val="1438813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5464691"/>
      </c:catAx>
      <c:valAx>
        <c:axId val="15054646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interpolarization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88133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Acessos vs. Data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'nulos e faltantes'!$B$1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'nulos e faltantes'!$A$2:$A$47</c:f>
            </c:strRef>
          </c:cat>
          <c:val>
            <c:numRef>
              <c:f>'nulos e faltantes'!$B$2:$B$47</c:f>
              <c:numCache/>
            </c:numRef>
          </c:val>
          <c:smooth val="0"/>
        </c:ser>
        <c:axId val="563669296"/>
        <c:axId val="856128387"/>
      </c:lineChart>
      <c:catAx>
        <c:axId val="563669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6128387"/>
      </c:catAx>
      <c:valAx>
        <c:axId val="856128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Acessos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36692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Número de livros vendidos vs. Data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variancia!$B$1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variancia!$A$2:$A$285</c:f>
            </c:strRef>
          </c:cat>
          <c:val>
            <c:numRef>
              <c:f>variancia!$B$2:$B$285</c:f>
              <c:numCache/>
            </c:numRef>
          </c:val>
          <c:smooth val="0"/>
        </c:ser>
        <c:axId val="299483072"/>
        <c:axId val="516636907"/>
      </c:lineChart>
      <c:catAx>
        <c:axId val="299483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6636907"/>
      </c:catAx>
      <c:valAx>
        <c:axId val="5166369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Número de livros vendidos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94830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media movel 7d vs. Data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variancia!$E$1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variancia!$A$2:$A$1000</c:f>
            </c:strRef>
          </c:cat>
          <c:val>
            <c:numRef>
              <c:f>variancia!$E$2:$E$1000</c:f>
              <c:numCache/>
            </c:numRef>
          </c:val>
          <c:smooth val="0"/>
        </c:ser>
        <c:axId val="1032612929"/>
        <c:axId val="1658506129"/>
      </c:lineChart>
      <c:catAx>
        <c:axId val="1032612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8506129"/>
      </c:catAx>
      <c:valAx>
        <c:axId val="16585061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media movel 7d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26129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Vendas vs. Data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DataVendas!$B$1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DataVendas!$A$2:$A$47</c:f>
            </c:strRef>
          </c:cat>
          <c:val>
            <c:numRef>
              <c:f>DataVendas!$B$2:$B$47</c:f>
              <c:numCache/>
            </c:numRef>
          </c:val>
          <c:smooth val="0"/>
        </c:ser>
        <c:axId val="1038107552"/>
        <c:axId val="1019973443"/>
      </c:lineChart>
      <c:catAx>
        <c:axId val="1038107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9973443"/>
      </c:catAx>
      <c:valAx>
        <c:axId val="1019973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81075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Vendas em R$ vs. Mês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sazionalidade!$B$1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sazionalidade!$A$2:$A$21</c:f>
            </c:strRef>
          </c:cat>
          <c:val>
            <c:numRef>
              <c:f>sazionalidade!$B$2:$B$21</c:f>
              <c:numCache/>
            </c:numRef>
          </c:val>
          <c:smooth val="0"/>
        </c:ser>
        <c:axId val="2073599348"/>
        <c:axId val="806976341"/>
      </c:lineChart>
      <c:catAx>
        <c:axId val="20735993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6976341"/>
      </c:catAx>
      <c:valAx>
        <c:axId val="806976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Vendas em R$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35993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vendas por Dias úteis vs. Mês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sazionalidade!$D$1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sazionalidade!$A$2:$A$1000</c:f>
            </c:strRef>
          </c:cat>
          <c:val>
            <c:numRef>
              <c:f>sazionalidade!$D$2:$D$1000</c:f>
              <c:numCache/>
            </c:numRef>
          </c:val>
          <c:smooth val="0"/>
        </c:ser>
        <c:axId val="1142457637"/>
        <c:axId val="1490146302"/>
      </c:lineChart>
      <c:catAx>
        <c:axId val="1142457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0146302"/>
      </c:catAx>
      <c:valAx>
        <c:axId val="14901463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vendas por Dias úteis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24576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Acessos vs. Data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'vídeo 5.2'!$B$1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'vídeo 5.2'!$A$2:$A$47</c:f>
            </c:strRef>
          </c:cat>
          <c:val>
            <c:numRef>
              <c:f>'vídeo 5.2'!$B$2:$B$47</c:f>
              <c:numCache/>
            </c:numRef>
          </c:val>
          <c:smooth val="0"/>
        </c:ser>
        <c:axId val="994428294"/>
        <c:axId val="47412611"/>
      </c:lineChart>
      <c:catAx>
        <c:axId val="994428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412611"/>
      </c:catAx>
      <c:valAx>
        <c:axId val="474126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Acessos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44282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Acessos vs. Mês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'vídeo 5.2'!$B$50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'vídeo 5.2'!$A$51:$A$70</c:f>
            </c:strRef>
          </c:cat>
          <c:val>
            <c:numRef>
              <c:f>'vídeo 5.2'!$B$51:$B$70</c:f>
              <c:numCache/>
            </c:numRef>
          </c:val>
          <c:smooth val="0"/>
        </c:ser>
        <c:axId val="614945375"/>
        <c:axId val="710562523"/>
      </c:lineChart>
      <c:catAx>
        <c:axId val="614945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0562523"/>
      </c:catAx>
      <c:valAx>
        <c:axId val="710562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Acessos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49453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acessos por FDS vs. Mês (ajustado)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'vídeo 5.2'!$D$50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'vídeo 5.2'!$A$51:$A$70</c:f>
            </c:strRef>
          </c:cat>
          <c:val>
            <c:numRef>
              <c:f>'vídeo 5.2'!$D$51:$D$70</c:f>
              <c:numCache/>
            </c:numRef>
          </c:val>
          <c:smooth val="0"/>
        </c:ser>
        <c:axId val="302116802"/>
        <c:axId val="754574774"/>
      </c:lineChart>
      <c:catAx>
        <c:axId val="302116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574774"/>
      </c:catAx>
      <c:valAx>
        <c:axId val="7545747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acessos por FDS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21168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velocidade acessos vs. Mês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'vídeo 5.2'!$E$50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38100">
                <a:solidFill>
                  <a:srgbClr val="FF99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'vídeo 5.2'!$A$51:$A$70</c:f>
            </c:strRef>
          </c:cat>
          <c:val>
            <c:numRef>
              <c:f>'vídeo 5.2'!$E$51:$E$70</c:f>
              <c:numCache/>
            </c:numRef>
          </c:val>
          <c:smooth val="0"/>
        </c:ser>
        <c:axId val="1541291321"/>
        <c:axId val="1492741993"/>
      </c:lineChart>
      <c:catAx>
        <c:axId val="1541291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2741993"/>
      </c:catAx>
      <c:valAx>
        <c:axId val="1492741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velocidade acessos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12913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aceleracao vs. Mês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'vídeo 5.2'!$F$50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38100">
                <a:solidFill>
                  <a:srgbClr val="FF99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'vídeo 5.2'!$A$51:$A$70</c:f>
            </c:strRef>
          </c:cat>
          <c:val>
            <c:numRef>
              <c:f>'vídeo 5.2'!$F$51:$F$70</c:f>
              <c:numCache/>
            </c:numRef>
          </c:val>
          <c:smooth val="0"/>
        </c:ser>
        <c:axId val="632334845"/>
        <c:axId val="1361772347"/>
      </c:lineChart>
      <c:catAx>
        <c:axId val="6323348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1772347"/>
      </c:catAx>
      <c:valAx>
        <c:axId val="1361772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aceleracao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23348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Arial"/>
              </a:defRPr>
            </a:pPr>
            <a:r>
              <a:rPr b="0" i="0">
                <a:solidFill>
                  <a:srgbClr val="757575"/>
                </a:solidFill>
                <a:latin typeface="Arial"/>
              </a:rPr>
              <a:t>Vendas em R$ versus Mês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'vídeo 5.3'!$B$1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'vídeo 5.3'!$A$2:$A$21</c:f>
            </c:strRef>
          </c:cat>
          <c:val>
            <c:numRef>
              <c:f>'vídeo 5.3'!$B$2:$B$21</c:f>
              <c:numCache/>
            </c:numRef>
          </c:val>
          <c:smooth val="0"/>
        </c:ser>
        <c:axId val="31384166"/>
        <c:axId val="1060613238"/>
      </c:lineChart>
      <c:catAx>
        <c:axId val="31384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>
                    <a:solidFill>
                      <a:srgbClr val="000000"/>
                    </a:solidFill>
                    <a:latin typeface="Arial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060613238"/>
      </c:catAx>
      <c:valAx>
        <c:axId val="10606132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>
                    <a:solidFill>
                      <a:srgbClr val="000000"/>
                    </a:solidFill>
                    <a:latin typeface="Arial"/>
                  </a:rPr>
                  <a:t>Vendas em R$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3138416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Arial"/>
              </a:defRPr>
            </a:pPr>
            <a:r>
              <a:rPr b="0" i="0">
                <a:solidFill>
                  <a:srgbClr val="757575"/>
                </a:solidFill>
                <a:latin typeface="Arial"/>
              </a:rPr>
              <a:t>Vendas por dias úteis versus Mês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'vídeo 5.3'!$D$1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'vídeo 5.3'!$A$2:$A$21</c:f>
            </c:strRef>
          </c:cat>
          <c:val>
            <c:numRef>
              <c:f>'vídeo 5.3'!$D$2:$D$21</c:f>
              <c:numCache/>
            </c:numRef>
          </c:val>
          <c:smooth val="0"/>
        </c:ser>
        <c:axId val="226434662"/>
        <c:axId val="1065969785"/>
      </c:lineChart>
      <c:catAx>
        <c:axId val="226434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>
                    <a:solidFill>
                      <a:srgbClr val="000000"/>
                    </a:solidFill>
                    <a:latin typeface="Arial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065969785"/>
      </c:catAx>
      <c:valAx>
        <c:axId val="10659697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>
                    <a:solidFill>
                      <a:srgbClr val="000000"/>
                    </a:solidFill>
                    <a:latin typeface="Arial"/>
                  </a:rPr>
                  <a:t>Vendas por dias úteis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22643466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velocidade aumento vendas vs. Mês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'vídeo 5.3'!$E$1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38100">
                <a:solidFill>
                  <a:srgbClr val="FF99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'vídeo 5.3'!$A$2:$A$21</c:f>
            </c:strRef>
          </c:cat>
          <c:val>
            <c:numRef>
              <c:f>'vídeo 5.3'!$E$2:$E$21</c:f>
              <c:numCache/>
            </c:numRef>
          </c:val>
          <c:smooth val="0"/>
        </c:ser>
        <c:axId val="1398413252"/>
        <c:axId val="1347413496"/>
      </c:lineChart>
      <c:catAx>
        <c:axId val="13984132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7413496"/>
      </c:catAx>
      <c:valAx>
        <c:axId val="1347413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velocidade aumento vendas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84132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aceleracao aumento vendas vs. Mês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'vídeo 5.3'!$F$1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38100">
                <a:solidFill>
                  <a:srgbClr val="FF99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'vídeo 5.3'!$A$2:$A$1000</c:f>
            </c:strRef>
          </c:cat>
          <c:val>
            <c:numRef>
              <c:f>'vídeo 5.3'!$F$2:$F$1000</c:f>
              <c:numCache/>
            </c:numRef>
          </c:val>
          <c:smooth val="0"/>
        </c:ser>
        <c:axId val="1477654253"/>
        <c:axId val="42050878"/>
      </c:lineChart>
      <c:catAx>
        <c:axId val="1477654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050878"/>
      </c:catAx>
      <c:valAx>
        <c:axId val="42050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aceleracao aumento vendas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76542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conversion vs. Meses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conversion!$D$1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conversion!$A$2:$A$22</c:f>
            </c:strRef>
          </c:cat>
          <c:val>
            <c:numRef>
              <c:f>conversion!$D$2:$D$22</c:f>
              <c:numCache/>
            </c:numRef>
          </c:val>
          <c:smooth val="0"/>
        </c:ser>
        <c:axId val="1814190514"/>
        <c:axId val="862720190"/>
      </c:lineChart>
      <c:catAx>
        <c:axId val="1814190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2720190"/>
      </c:catAx>
      <c:valAx>
        <c:axId val="8627201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conversion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41905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Acessos vs. Meses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conversion!$B$1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conversion!$A$2:$A$1000</c:f>
            </c:strRef>
          </c:cat>
          <c:val>
            <c:numRef>
              <c:f>conversion!$B$2:$B$1000</c:f>
              <c:numCache/>
            </c:numRef>
          </c:val>
          <c:smooth val="0"/>
        </c:ser>
        <c:axId val="1061098151"/>
        <c:axId val="1642036369"/>
      </c:lineChart>
      <c:catAx>
        <c:axId val="1061098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2036369"/>
      </c:catAx>
      <c:valAx>
        <c:axId val="16420363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Acessos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10981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<Relationship Id="rId4" Type="http://schemas.openxmlformats.org/officeDocument/2006/relationships/chart" Target="../charts/chart2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0</xdr:row>
      <xdr:rowOff>0</xdr:rowOff>
    </xdr:from>
    <xdr:ext cx="6686550" cy="4295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559117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0</xdr:row>
      <xdr:rowOff>0</xdr:rowOff>
    </xdr:from>
    <xdr:ext cx="5715000" cy="21717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19050</xdr:colOff>
      <xdr:row>10</xdr:row>
      <xdr:rowOff>171450</xdr:rowOff>
    </xdr:from>
    <xdr:ext cx="5715000" cy="21717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19050</xdr:colOff>
      <xdr:row>21</xdr:row>
      <xdr:rowOff>142875</xdr:rowOff>
    </xdr:from>
    <xdr:ext cx="5715000" cy="21717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10</xdr:row>
      <xdr:rowOff>171450</xdr:rowOff>
    </xdr:from>
    <xdr:ext cx="5715000" cy="21717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9525</xdr:colOff>
      <xdr:row>0</xdr:row>
      <xdr:rowOff>0</xdr:rowOff>
    </xdr:from>
    <xdr:ext cx="5715000" cy="21717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38100</xdr:colOff>
      <xdr:row>0</xdr:row>
      <xdr:rowOff>0</xdr:rowOff>
    </xdr:from>
    <xdr:ext cx="5715000" cy="21717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38100</xdr:colOff>
      <xdr:row>10</xdr:row>
      <xdr:rowOff>142875</xdr:rowOff>
    </xdr:from>
    <xdr:ext cx="5715000" cy="22288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0</xdr:row>
      <xdr:rowOff>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5715000" cy="21621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10</xdr:row>
      <xdr:rowOff>161925</xdr:rowOff>
    </xdr:from>
    <xdr:ext cx="5715000" cy="21621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0</xdr:rowOff>
    </xdr:from>
    <xdr:ext cx="5715000" cy="22002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49</xdr:row>
      <xdr:rowOff>0</xdr:rowOff>
    </xdr:from>
    <xdr:ext cx="5715000" cy="22002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60</xdr:row>
      <xdr:rowOff>0</xdr:rowOff>
    </xdr:from>
    <xdr:ext cx="5715000" cy="215265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70</xdr:row>
      <xdr:rowOff>152400</xdr:rowOff>
    </xdr:from>
    <xdr:ext cx="5715000" cy="22002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0</xdr:colOff>
      <xdr:row>81</xdr:row>
      <xdr:rowOff>152400</xdr:rowOff>
    </xdr:from>
    <xdr:ext cx="5715000" cy="22002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10</xdr:row>
      <xdr:rowOff>133350</xdr:rowOff>
    </xdr:from>
    <xdr:ext cx="5715000" cy="2228850"/>
    <xdr:graphicFrame>
      <xdr:nvGraphicFramePr>
        <xdr:cNvPr id="18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0</xdr:row>
      <xdr:rowOff>0</xdr:rowOff>
    </xdr:from>
    <xdr:ext cx="5715000" cy="2133600"/>
    <xdr:graphicFrame>
      <xdr:nvGraphicFramePr>
        <xdr:cNvPr id="1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21</xdr:row>
      <xdr:rowOff>161925</xdr:rowOff>
    </xdr:from>
    <xdr:ext cx="5715000" cy="222885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32</xdr:row>
      <xdr:rowOff>190500</xdr:rowOff>
    </xdr:from>
    <xdr:ext cx="5715000" cy="218122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10</xdr:row>
      <xdr:rowOff>171450</xdr:rowOff>
    </xdr:from>
    <xdr:ext cx="5715000" cy="2171700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9525</xdr:colOff>
      <xdr:row>0</xdr:row>
      <xdr:rowOff>0</xdr:rowOff>
    </xdr:from>
    <xdr:ext cx="5715000" cy="2171700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13.88"/>
    <col customWidth="1" min="3" max="4" width="1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7.0</v>
      </c>
      <c r="C2" s="3">
        <v>105.0</v>
      </c>
      <c r="D2" s="3">
        <f t="shared" ref="D2:D20" si="1">C2*1.4</f>
        <v>147</v>
      </c>
    </row>
    <row r="3">
      <c r="A3" s="2" t="s">
        <v>5</v>
      </c>
      <c r="B3" s="2">
        <v>8.0</v>
      </c>
      <c r="C3" s="3">
        <v>153.6</v>
      </c>
      <c r="D3" s="3">
        <f t="shared" si="1"/>
        <v>215.04</v>
      </c>
    </row>
    <row r="4">
      <c r="A4" s="2" t="s">
        <v>6</v>
      </c>
      <c r="B4" s="2">
        <v>10.0</v>
      </c>
      <c r="C4" s="3">
        <v>240.0</v>
      </c>
      <c r="D4" s="3">
        <f t="shared" si="1"/>
        <v>336</v>
      </c>
    </row>
    <row r="5">
      <c r="A5" s="2" t="s">
        <v>7</v>
      </c>
      <c r="B5" s="2">
        <v>12.0</v>
      </c>
      <c r="C5" s="3">
        <v>360.0</v>
      </c>
      <c r="D5" s="3">
        <f t="shared" si="1"/>
        <v>504</v>
      </c>
    </row>
    <row r="6">
      <c r="A6" s="2" t="s">
        <v>8</v>
      </c>
      <c r="B6" s="2">
        <v>10.0</v>
      </c>
      <c r="C6" s="3">
        <v>240.0</v>
      </c>
      <c r="D6" s="3">
        <f t="shared" si="1"/>
        <v>336</v>
      </c>
    </row>
    <row r="7">
      <c r="A7" s="2" t="s">
        <v>9</v>
      </c>
      <c r="B7" s="2">
        <v>9.0</v>
      </c>
      <c r="C7" s="3">
        <v>270.0</v>
      </c>
      <c r="D7" s="3">
        <f t="shared" si="1"/>
        <v>378</v>
      </c>
    </row>
    <row r="8">
      <c r="A8" s="2" t="s">
        <v>10</v>
      </c>
      <c r="B8" s="2">
        <v>12.0</v>
      </c>
      <c r="C8" s="3">
        <v>432.0</v>
      </c>
      <c r="D8" s="3">
        <f t="shared" si="1"/>
        <v>604.8</v>
      </c>
    </row>
    <row r="9">
      <c r="A9" s="2" t="s">
        <v>11</v>
      </c>
      <c r="B9" s="2">
        <v>7.0</v>
      </c>
      <c r="C9" s="3">
        <v>168.0</v>
      </c>
      <c r="D9" s="3">
        <f t="shared" si="1"/>
        <v>235.2</v>
      </c>
    </row>
    <row r="10">
      <c r="A10" s="2" t="s">
        <v>12</v>
      </c>
      <c r="B10" s="2">
        <v>6.0</v>
      </c>
      <c r="C10" s="3">
        <v>165.6</v>
      </c>
      <c r="D10" s="3">
        <f t="shared" si="1"/>
        <v>231.84</v>
      </c>
    </row>
    <row r="11">
      <c r="A11" s="2" t="s">
        <v>13</v>
      </c>
      <c r="B11" s="2">
        <v>6.0</v>
      </c>
      <c r="C11" s="3">
        <v>165.6</v>
      </c>
      <c r="D11" s="3">
        <f t="shared" si="1"/>
        <v>231.84</v>
      </c>
    </row>
    <row r="12">
      <c r="A12" s="2" t="s">
        <v>14</v>
      </c>
      <c r="B12" s="2">
        <v>6.0</v>
      </c>
      <c r="C12" s="3">
        <v>165.6</v>
      </c>
      <c r="D12" s="3">
        <f t="shared" si="1"/>
        <v>231.84</v>
      </c>
    </row>
    <row r="13">
      <c r="A13" s="2" t="s">
        <v>15</v>
      </c>
      <c r="B13" s="2">
        <v>5.0</v>
      </c>
      <c r="C13" s="3">
        <v>450.0</v>
      </c>
      <c r="D13" s="3">
        <f t="shared" si="1"/>
        <v>630</v>
      </c>
    </row>
    <row r="14">
      <c r="A14" s="2" t="s">
        <v>16</v>
      </c>
      <c r="B14" s="2">
        <v>4.0</v>
      </c>
      <c r="C14" s="3">
        <v>168.0</v>
      </c>
      <c r="D14" s="3">
        <f t="shared" si="1"/>
        <v>235.2</v>
      </c>
    </row>
    <row r="15">
      <c r="A15" s="2" t="s">
        <v>17</v>
      </c>
      <c r="B15" s="2">
        <v>20.0</v>
      </c>
      <c r="C15" s="3">
        <v>360.0</v>
      </c>
      <c r="D15" s="3">
        <f t="shared" si="1"/>
        <v>504</v>
      </c>
    </row>
    <row r="16">
      <c r="A16" s="2" t="s">
        <v>18</v>
      </c>
      <c r="B16" s="2">
        <v>10.0</v>
      </c>
      <c r="C16" s="3">
        <v>180.0</v>
      </c>
      <c r="D16" s="3">
        <f t="shared" si="1"/>
        <v>252</v>
      </c>
    </row>
    <row r="17">
      <c r="A17" s="2" t="s">
        <v>19</v>
      </c>
      <c r="B17" s="2">
        <v>4.0</v>
      </c>
      <c r="C17" s="3">
        <v>240.0</v>
      </c>
      <c r="D17" s="3">
        <f t="shared" si="1"/>
        <v>336</v>
      </c>
    </row>
    <row r="18">
      <c r="A18" s="2" t="s">
        <v>20</v>
      </c>
      <c r="B18" s="2">
        <v>5.0</v>
      </c>
      <c r="C18" s="3">
        <v>90.0</v>
      </c>
      <c r="D18" s="3">
        <f t="shared" si="1"/>
        <v>126</v>
      </c>
    </row>
    <row r="19">
      <c r="A19" s="2" t="s">
        <v>21</v>
      </c>
      <c r="B19" s="2">
        <v>6.0</v>
      </c>
      <c r="C19" s="3">
        <v>162.0</v>
      </c>
      <c r="D19" s="3">
        <f t="shared" si="1"/>
        <v>226.8</v>
      </c>
    </row>
    <row r="20">
      <c r="A20" s="2" t="s">
        <v>22</v>
      </c>
      <c r="B20" s="2">
        <v>10.0</v>
      </c>
      <c r="C20" s="3">
        <v>240.0</v>
      </c>
      <c r="D20" s="3">
        <f t="shared" si="1"/>
        <v>336</v>
      </c>
    </row>
    <row r="21">
      <c r="A21" s="4" t="s">
        <v>23</v>
      </c>
      <c r="B21" s="4">
        <f t="shared" ref="B21:D21" si="2">SUM(B2:B20)</f>
        <v>157</v>
      </c>
      <c r="C21" s="5">
        <f t="shared" si="2"/>
        <v>4355.4</v>
      </c>
      <c r="D21" s="5">
        <f t="shared" si="2"/>
        <v>6097.56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4.38"/>
  </cols>
  <sheetData>
    <row r="1">
      <c r="A1" s="7" t="s">
        <v>24</v>
      </c>
      <c r="B1" s="7" t="s">
        <v>25</v>
      </c>
    </row>
    <row r="2">
      <c r="A2" s="8" t="s">
        <v>26</v>
      </c>
      <c r="B2" s="9">
        <v>500.0</v>
      </c>
    </row>
    <row r="3">
      <c r="A3" s="8" t="s">
        <v>27</v>
      </c>
      <c r="B3" s="9">
        <v>1000.0</v>
      </c>
    </row>
    <row r="4">
      <c r="A4" s="8" t="s">
        <v>28</v>
      </c>
      <c r="B4" s="9">
        <v>2000.0</v>
      </c>
    </row>
    <row r="5">
      <c r="A5" s="8" t="s">
        <v>29</v>
      </c>
      <c r="B5" s="9">
        <v>300.0</v>
      </c>
    </row>
    <row r="6">
      <c r="A6" s="8" t="s">
        <v>30</v>
      </c>
      <c r="B6" s="9">
        <v>500.0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8.38"/>
    <col customWidth="1" min="3" max="4" width="9.13"/>
    <col customWidth="1" min="5" max="26" width="8.0"/>
  </cols>
  <sheetData>
    <row r="1">
      <c r="A1" s="7" t="s">
        <v>31</v>
      </c>
      <c r="B1" s="7" t="s">
        <v>25</v>
      </c>
      <c r="C1" s="10" t="s">
        <v>32</v>
      </c>
      <c r="D1" s="10" t="s">
        <v>33</v>
      </c>
    </row>
    <row r="2">
      <c r="A2" s="11">
        <v>1.0</v>
      </c>
      <c r="B2" s="12">
        <v>800.0</v>
      </c>
      <c r="C2" s="12"/>
      <c r="D2" s="12"/>
    </row>
    <row r="3">
      <c r="A3" s="11">
        <v>2.0</v>
      </c>
      <c r="B3" s="12">
        <v>640.0</v>
      </c>
      <c r="C3" s="12">
        <f t="shared" ref="C3:C15" si="1">B3-B2</f>
        <v>-160</v>
      </c>
      <c r="D3" s="12"/>
    </row>
    <row r="4">
      <c r="A4" s="11">
        <v>3.0</v>
      </c>
      <c r="B4" s="12">
        <v>800.0</v>
      </c>
      <c r="C4" s="12">
        <f t="shared" si="1"/>
        <v>160</v>
      </c>
      <c r="D4" s="12">
        <f t="shared" ref="D4:D15" si="2">C4-C3</f>
        <v>320</v>
      </c>
    </row>
    <row r="5">
      <c r="A5" s="11">
        <v>4.0</v>
      </c>
      <c r="B5" s="12">
        <v>700.0</v>
      </c>
      <c r="C5" s="12">
        <f t="shared" si="1"/>
        <v>-100</v>
      </c>
      <c r="D5" s="12">
        <f t="shared" si="2"/>
        <v>-260</v>
      </c>
    </row>
    <row r="6">
      <c r="A6" s="11">
        <v>5.0</v>
      </c>
      <c r="B6" s="12">
        <v>930.0</v>
      </c>
      <c r="C6" s="12">
        <f t="shared" si="1"/>
        <v>230</v>
      </c>
      <c r="D6" s="12">
        <f t="shared" si="2"/>
        <v>330</v>
      </c>
    </row>
    <row r="7">
      <c r="A7" s="11">
        <v>6.0</v>
      </c>
      <c r="B7" s="12">
        <v>1120.0</v>
      </c>
      <c r="C7" s="12">
        <f t="shared" si="1"/>
        <v>190</v>
      </c>
      <c r="D7" s="12">
        <f t="shared" si="2"/>
        <v>-40</v>
      </c>
    </row>
    <row r="8">
      <c r="A8" s="11">
        <v>7.0</v>
      </c>
      <c r="B8" s="12">
        <v>945.0</v>
      </c>
      <c r="C8" s="12">
        <f t="shared" si="1"/>
        <v>-175</v>
      </c>
      <c r="D8" s="12">
        <f t="shared" si="2"/>
        <v>-365</v>
      </c>
    </row>
    <row r="9">
      <c r="A9" s="11">
        <v>8.0</v>
      </c>
      <c r="B9" s="12">
        <v>900.0</v>
      </c>
      <c r="C9" s="12">
        <f t="shared" si="1"/>
        <v>-45</v>
      </c>
      <c r="D9" s="12">
        <f t="shared" si="2"/>
        <v>130</v>
      </c>
    </row>
    <row r="10">
      <c r="A10" s="11">
        <v>9.0</v>
      </c>
      <c r="B10" s="12">
        <v>1200.0</v>
      </c>
      <c r="C10" s="12">
        <f t="shared" si="1"/>
        <v>300</v>
      </c>
      <c r="D10" s="12">
        <f t="shared" si="2"/>
        <v>345</v>
      </c>
    </row>
    <row r="11">
      <c r="A11" s="11">
        <v>10.0</v>
      </c>
      <c r="B11" s="12">
        <v>1300.0</v>
      </c>
      <c r="C11" s="12">
        <f t="shared" si="1"/>
        <v>100</v>
      </c>
      <c r="D11" s="12">
        <f t="shared" si="2"/>
        <v>-200</v>
      </c>
    </row>
    <row r="12">
      <c r="A12" s="11">
        <v>11.0</v>
      </c>
      <c r="B12" s="12">
        <v>1100.0</v>
      </c>
      <c r="C12" s="12">
        <f t="shared" si="1"/>
        <v>-200</v>
      </c>
      <c r="D12" s="12">
        <f t="shared" si="2"/>
        <v>-300</v>
      </c>
    </row>
    <row r="13">
      <c r="A13" s="11">
        <v>12.0</v>
      </c>
      <c r="B13" s="12">
        <v>1100.0</v>
      </c>
      <c r="C13" s="12">
        <f t="shared" si="1"/>
        <v>0</v>
      </c>
      <c r="D13" s="12">
        <f t="shared" si="2"/>
        <v>200</v>
      </c>
    </row>
    <row r="14">
      <c r="A14" s="11">
        <v>13.0</v>
      </c>
      <c r="B14" s="12">
        <v>900.0</v>
      </c>
      <c r="C14" s="12">
        <f t="shared" si="1"/>
        <v>-200</v>
      </c>
      <c r="D14" s="12">
        <f t="shared" si="2"/>
        <v>-200</v>
      </c>
    </row>
    <row r="15">
      <c r="A15" s="11">
        <v>14.0</v>
      </c>
      <c r="B15" s="12">
        <v>930.0</v>
      </c>
      <c r="C15" s="12">
        <f t="shared" si="1"/>
        <v>30</v>
      </c>
      <c r="D15" s="12">
        <f t="shared" si="2"/>
        <v>230</v>
      </c>
    </row>
    <row r="16">
      <c r="C16" s="13"/>
      <c r="D16" s="13"/>
    </row>
    <row r="17">
      <c r="C17" s="13"/>
      <c r="D17" s="13"/>
    </row>
    <row r="18">
      <c r="C18" s="13"/>
      <c r="D18" s="13"/>
    </row>
    <row r="19">
      <c r="C19" s="13"/>
      <c r="D19" s="13"/>
    </row>
    <row r="20">
      <c r="C20" s="13"/>
      <c r="D20" s="13"/>
    </row>
    <row r="21">
      <c r="C21" s="13"/>
      <c r="D21" s="13"/>
    </row>
    <row r="22">
      <c r="C22" s="13"/>
      <c r="D22" s="13"/>
    </row>
    <row r="23">
      <c r="C23" s="13"/>
      <c r="D23" s="13"/>
    </row>
    <row r="24">
      <c r="C24" s="13"/>
      <c r="D24" s="13"/>
    </row>
    <row r="25">
      <c r="C25" s="13"/>
      <c r="D25" s="13"/>
    </row>
    <row r="26">
      <c r="C26" s="13"/>
      <c r="D26" s="13"/>
    </row>
    <row r="27">
      <c r="C27" s="13"/>
      <c r="D27" s="13"/>
    </row>
    <row r="28">
      <c r="C28" s="13"/>
      <c r="D28" s="13"/>
    </row>
    <row r="29">
      <c r="C29" s="13"/>
      <c r="D29" s="13"/>
    </row>
    <row r="30">
      <c r="C30" s="13"/>
      <c r="D30" s="13"/>
    </row>
    <row r="31">
      <c r="C31" s="13"/>
      <c r="D31" s="13"/>
    </row>
    <row r="32">
      <c r="C32" s="13"/>
      <c r="D32" s="13"/>
    </row>
    <row r="33">
      <c r="C33" s="13"/>
      <c r="D33" s="13"/>
    </row>
    <row r="34">
      <c r="C34" s="13"/>
      <c r="D34" s="13"/>
    </row>
    <row r="35">
      <c r="C35" s="13"/>
      <c r="D35" s="13"/>
    </row>
    <row r="36">
      <c r="C36" s="13"/>
      <c r="D36" s="13"/>
    </row>
    <row r="37">
      <c r="C37" s="13"/>
      <c r="D37" s="13"/>
    </row>
    <row r="38">
      <c r="C38" s="13"/>
      <c r="D38" s="13"/>
    </row>
    <row r="39">
      <c r="C39" s="13"/>
      <c r="D39" s="13"/>
    </row>
    <row r="40">
      <c r="C40" s="13"/>
      <c r="D40" s="13"/>
    </row>
    <row r="41">
      <c r="C41" s="13"/>
      <c r="D41" s="13"/>
    </row>
    <row r="42">
      <c r="C42" s="13"/>
      <c r="D42" s="13"/>
    </row>
    <row r="43">
      <c r="C43" s="13"/>
      <c r="D43" s="13"/>
    </row>
    <row r="44">
      <c r="C44" s="13"/>
      <c r="D44" s="13"/>
    </row>
    <row r="45">
      <c r="C45" s="13"/>
      <c r="D45" s="13"/>
    </row>
    <row r="46">
      <c r="C46" s="13"/>
      <c r="D46" s="13"/>
    </row>
    <row r="47">
      <c r="C47" s="13"/>
      <c r="D47" s="13"/>
    </row>
    <row r="48">
      <c r="C48" s="13"/>
      <c r="D48" s="13"/>
    </row>
    <row r="49">
      <c r="C49" s="13"/>
      <c r="D49" s="13"/>
    </row>
    <row r="50">
      <c r="C50" s="13"/>
      <c r="D50" s="13"/>
    </row>
    <row r="51">
      <c r="C51" s="13"/>
      <c r="D51" s="13"/>
    </row>
    <row r="52">
      <c r="C52" s="13"/>
      <c r="D52" s="13"/>
    </row>
    <row r="53">
      <c r="C53" s="13"/>
      <c r="D53" s="13"/>
    </row>
    <row r="54">
      <c r="C54" s="13"/>
      <c r="D54" s="13"/>
    </row>
    <row r="55">
      <c r="C55" s="13"/>
      <c r="D55" s="13"/>
    </row>
    <row r="56">
      <c r="C56" s="13"/>
      <c r="D56" s="13"/>
    </row>
    <row r="57">
      <c r="C57" s="13"/>
      <c r="D57" s="13"/>
    </row>
    <row r="58">
      <c r="C58" s="13"/>
      <c r="D58" s="13"/>
    </row>
    <row r="59">
      <c r="C59" s="13"/>
      <c r="D59" s="13"/>
    </row>
    <row r="60">
      <c r="C60" s="13"/>
      <c r="D60" s="13"/>
    </row>
    <row r="61">
      <c r="C61" s="13"/>
      <c r="D61" s="13"/>
    </row>
    <row r="62">
      <c r="C62" s="13"/>
      <c r="D62" s="13"/>
    </row>
    <row r="63">
      <c r="C63" s="13"/>
      <c r="D63" s="13"/>
    </row>
    <row r="64">
      <c r="C64" s="13"/>
      <c r="D64" s="13"/>
    </row>
    <row r="65">
      <c r="C65" s="13"/>
      <c r="D65" s="13"/>
    </row>
    <row r="66">
      <c r="C66" s="13"/>
      <c r="D66" s="13"/>
    </row>
    <row r="67">
      <c r="C67" s="13"/>
      <c r="D67" s="13"/>
    </row>
    <row r="68">
      <c r="C68" s="13"/>
      <c r="D68" s="13"/>
    </row>
    <row r="69">
      <c r="C69" s="13"/>
      <c r="D69" s="13"/>
    </row>
    <row r="70">
      <c r="C70" s="13"/>
      <c r="D70" s="13"/>
    </row>
    <row r="71">
      <c r="C71" s="13"/>
      <c r="D71" s="13"/>
    </row>
    <row r="72">
      <c r="C72" s="13"/>
      <c r="D72" s="13"/>
    </row>
    <row r="73">
      <c r="C73" s="13"/>
      <c r="D73" s="13"/>
    </row>
    <row r="74">
      <c r="C74" s="13"/>
      <c r="D74" s="13"/>
    </row>
    <row r="75">
      <c r="C75" s="13"/>
      <c r="D75" s="13"/>
    </row>
    <row r="76">
      <c r="C76" s="13"/>
      <c r="D76" s="13"/>
    </row>
    <row r="77">
      <c r="C77" s="13"/>
      <c r="D77" s="13"/>
    </row>
    <row r="78">
      <c r="C78" s="13"/>
      <c r="D78" s="13"/>
    </row>
    <row r="79">
      <c r="C79" s="13"/>
      <c r="D79" s="13"/>
    </row>
    <row r="80">
      <c r="C80" s="13"/>
      <c r="D80" s="13"/>
    </row>
    <row r="81">
      <c r="C81" s="13"/>
      <c r="D81" s="13"/>
    </row>
    <row r="82">
      <c r="C82" s="13"/>
      <c r="D82" s="13"/>
    </row>
    <row r="83">
      <c r="C83" s="13"/>
      <c r="D83" s="13"/>
    </row>
    <row r="84">
      <c r="C84" s="13"/>
      <c r="D84" s="13"/>
    </row>
    <row r="85">
      <c r="C85" s="13"/>
      <c r="D85" s="13"/>
    </row>
    <row r="86">
      <c r="C86" s="13"/>
      <c r="D86" s="13"/>
    </row>
    <row r="87">
      <c r="C87" s="13"/>
      <c r="D87" s="13"/>
    </row>
    <row r="88">
      <c r="C88" s="13"/>
      <c r="D88" s="13"/>
    </row>
    <row r="89">
      <c r="C89" s="13"/>
      <c r="D89" s="13"/>
    </row>
    <row r="90">
      <c r="C90" s="13"/>
      <c r="D90" s="13"/>
    </row>
    <row r="91">
      <c r="C91" s="13"/>
      <c r="D91" s="13"/>
    </row>
    <row r="92">
      <c r="C92" s="13"/>
      <c r="D92" s="13"/>
    </row>
    <row r="93">
      <c r="C93" s="13"/>
      <c r="D93" s="13"/>
    </row>
    <row r="94">
      <c r="C94" s="13"/>
      <c r="D94" s="13"/>
    </row>
    <row r="95">
      <c r="C95" s="13"/>
      <c r="D95" s="13"/>
    </row>
    <row r="96">
      <c r="C96" s="13"/>
      <c r="D96" s="13"/>
    </row>
    <row r="97">
      <c r="C97" s="13"/>
      <c r="D97" s="13"/>
    </row>
    <row r="98">
      <c r="C98" s="13"/>
      <c r="D98" s="13"/>
    </row>
    <row r="99">
      <c r="C99" s="13"/>
      <c r="D99" s="13"/>
    </row>
    <row r="100">
      <c r="C100" s="13"/>
      <c r="D100" s="13"/>
    </row>
    <row r="101">
      <c r="C101" s="13"/>
      <c r="D101" s="13"/>
    </row>
    <row r="102">
      <c r="C102" s="13"/>
      <c r="D102" s="13"/>
    </row>
    <row r="103">
      <c r="C103" s="13"/>
      <c r="D103" s="13"/>
    </row>
    <row r="104">
      <c r="C104" s="13"/>
      <c r="D104" s="13"/>
    </row>
    <row r="105">
      <c r="C105" s="13"/>
      <c r="D105" s="13"/>
    </row>
    <row r="106">
      <c r="C106" s="13"/>
      <c r="D106" s="13"/>
    </row>
    <row r="107">
      <c r="C107" s="13"/>
      <c r="D107" s="13"/>
    </row>
    <row r="108">
      <c r="C108" s="13"/>
      <c r="D108" s="13"/>
    </row>
    <row r="109">
      <c r="C109" s="13"/>
      <c r="D109" s="13"/>
    </row>
    <row r="110">
      <c r="C110" s="13"/>
      <c r="D110" s="13"/>
    </row>
    <row r="111">
      <c r="C111" s="13"/>
      <c r="D111" s="13"/>
    </row>
    <row r="112">
      <c r="C112" s="13"/>
      <c r="D112" s="13"/>
    </row>
    <row r="113">
      <c r="C113" s="13"/>
      <c r="D113" s="13"/>
    </row>
    <row r="114">
      <c r="C114" s="13"/>
      <c r="D114" s="13"/>
    </row>
    <row r="115">
      <c r="C115" s="13"/>
      <c r="D115" s="13"/>
    </row>
    <row r="116">
      <c r="C116" s="13"/>
      <c r="D116" s="13"/>
    </row>
    <row r="117">
      <c r="C117" s="13"/>
      <c r="D117" s="13"/>
    </row>
    <row r="118">
      <c r="C118" s="13"/>
      <c r="D118" s="13"/>
    </row>
    <row r="119">
      <c r="C119" s="13"/>
      <c r="D119" s="13"/>
    </row>
    <row r="120">
      <c r="C120" s="13"/>
      <c r="D120" s="13"/>
    </row>
    <row r="121">
      <c r="C121" s="13"/>
      <c r="D121" s="13"/>
    </row>
    <row r="122">
      <c r="C122" s="13"/>
      <c r="D122" s="13"/>
    </row>
    <row r="123">
      <c r="C123" s="13"/>
      <c r="D123" s="13"/>
    </row>
    <row r="124">
      <c r="C124" s="13"/>
      <c r="D124" s="13"/>
    </row>
    <row r="125">
      <c r="C125" s="13"/>
      <c r="D125" s="13"/>
    </row>
    <row r="126">
      <c r="C126" s="13"/>
      <c r="D126" s="13"/>
    </row>
    <row r="127">
      <c r="C127" s="13"/>
      <c r="D127" s="13"/>
    </row>
    <row r="128">
      <c r="C128" s="13"/>
      <c r="D128" s="13"/>
    </row>
    <row r="129">
      <c r="C129" s="13"/>
      <c r="D129" s="13"/>
    </row>
    <row r="130">
      <c r="C130" s="13"/>
      <c r="D130" s="13"/>
    </row>
    <row r="131">
      <c r="C131" s="13"/>
      <c r="D131" s="13"/>
    </row>
    <row r="132">
      <c r="C132" s="13"/>
      <c r="D132" s="13"/>
    </row>
    <row r="133">
      <c r="C133" s="13"/>
      <c r="D133" s="13"/>
    </row>
    <row r="134">
      <c r="C134" s="13"/>
      <c r="D134" s="13"/>
    </row>
    <row r="135">
      <c r="C135" s="13"/>
      <c r="D135" s="13"/>
    </row>
    <row r="136">
      <c r="C136" s="13"/>
      <c r="D136" s="13"/>
    </row>
    <row r="137">
      <c r="C137" s="13"/>
      <c r="D137" s="13"/>
    </row>
    <row r="138">
      <c r="C138" s="13"/>
      <c r="D138" s="13"/>
    </row>
    <row r="139">
      <c r="C139" s="13"/>
      <c r="D139" s="13"/>
    </row>
    <row r="140">
      <c r="C140" s="13"/>
      <c r="D140" s="13"/>
    </row>
    <row r="141">
      <c r="C141" s="13"/>
      <c r="D141" s="13"/>
    </row>
    <row r="142">
      <c r="C142" s="13"/>
      <c r="D142" s="13"/>
    </row>
    <row r="143">
      <c r="C143" s="13"/>
      <c r="D143" s="13"/>
    </row>
    <row r="144">
      <c r="C144" s="13"/>
      <c r="D144" s="13"/>
    </row>
    <row r="145">
      <c r="C145" s="13"/>
      <c r="D145" s="13"/>
    </row>
    <row r="146">
      <c r="C146" s="13"/>
      <c r="D146" s="13"/>
    </row>
    <row r="147">
      <c r="C147" s="13"/>
      <c r="D147" s="13"/>
    </row>
    <row r="148">
      <c r="C148" s="13"/>
      <c r="D148" s="13"/>
    </row>
    <row r="149">
      <c r="C149" s="13"/>
      <c r="D149" s="13"/>
    </row>
    <row r="150">
      <c r="C150" s="13"/>
      <c r="D150" s="13"/>
    </row>
    <row r="151">
      <c r="C151" s="13"/>
      <c r="D151" s="13"/>
    </row>
    <row r="152">
      <c r="C152" s="13"/>
      <c r="D152" s="13"/>
    </row>
    <row r="153">
      <c r="C153" s="13"/>
      <c r="D153" s="13"/>
    </row>
    <row r="154">
      <c r="C154" s="13"/>
      <c r="D154" s="13"/>
    </row>
    <row r="155">
      <c r="C155" s="13"/>
      <c r="D155" s="13"/>
    </row>
    <row r="156">
      <c r="C156" s="13"/>
      <c r="D156" s="13"/>
    </row>
    <row r="157">
      <c r="C157" s="13"/>
      <c r="D157" s="13"/>
    </row>
    <row r="158">
      <c r="C158" s="13"/>
      <c r="D158" s="13"/>
    </row>
    <row r="159">
      <c r="C159" s="13"/>
      <c r="D159" s="13"/>
    </row>
    <row r="160">
      <c r="C160" s="13"/>
      <c r="D160" s="13"/>
    </row>
    <row r="161">
      <c r="C161" s="13"/>
      <c r="D161" s="13"/>
    </row>
    <row r="162">
      <c r="C162" s="13"/>
      <c r="D162" s="13"/>
    </row>
    <row r="163">
      <c r="C163" s="13"/>
      <c r="D163" s="13"/>
    </row>
    <row r="164">
      <c r="C164" s="13"/>
      <c r="D164" s="13"/>
    </row>
    <row r="165">
      <c r="C165" s="13"/>
      <c r="D165" s="13"/>
    </row>
    <row r="166">
      <c r="C166" s="13"/>
      <c r="D166" s="13"/>
    </row>
    <row r="167">
      <c r="C167" s="13"/>
      <c r="D167" s="13"/>
    </row>
    <row r="168">
      <c r="C168" s="13"/>
      <c r="D168" s="13"/>
    </row>
    <row r="169">
      <c r="C169" s="13"/>
      <c r="D169" s="13"/>
    </row>
    <row r="170">
      <c r="C170" s="13"/>
      <c r="D170" s="13"/>
    </row>
    <row r="171">
      <c r="C171" s="13"/>
      <c r="D171" s="13"/>
    </row>
    <row r="172">
      <c r="C172" s="13"/>
      <c r="D172" s="13"/>
    </row>
    <row r="173">
      <c r="C173" s="13"/>
      <c r="D173" s="13"/>
    </row>
    <row r="174">
      <c r="C174" s="13"/>
      <c r="D174" s="13"/>
    </row>
    <row r="175">
      <c r="C175" s="13"/>
      <c r="D175" s="13"/>
    </row>
    <row r="176">
      <c r="C176" s="13"/>
      <c r="D176" s="13"/>
    </row>
    <row r="177">
      <c r="C177" s="13"/>
      <c r="D177" s="13"/>
    </row>
    <row r="178">
      <c r="C178" s="13"/>
      <c r="D178" s="13"/>
    </row>
    <row r="179">
      <c r="C179" s="13"/>
      <c r="D179" s="13"/>
    </row>
    <row r="180">
      <c r="C180" s="13"/>
      <c r="D180" s="13"/>
    </row>
    <row r="181">
      <c r="C181" s="13"/>
      <c r="D181" s="13"/>
    </row>
    <row r="182">
      <c r="C182" s="13"/>
      <c r="D182" s="13"/>
    </row>
    <row r="183">
      <c r="C183" s="13"/>
      <c r="D183" s="13"/>
    </row>
    <row r="184">
      <c r="C184" s="13"/>
      <c r="D184" s="13"/>
    </row>
    <row r="185">
      <c r="C185" s="13"/>
      <c r="D185" s="13"/>
    </row>
    <row r="186">
      <c r="C186" s="13"/>
      <c r="D186" s="13"/>
    </row>
    <row r="187">
      <c r="C187" s="13"/>
      <c r="D187" s="13"/>
    </row>
    <row r="188">
      <c r="C188" s="13"/>
      <c r="D188" s="13"/>
    </row>
    <row r="189">
      <c r="C189" s="13"/>
      <c r="D189" s="13"/>
    </row>
    <row r="190">
      <c r="C190" s="13"/>
      <c r="D190" s="13"/>
    </row>
    <row r="191">
      <c r="C191" s="13"/>
      <c r="D191" s="13"/>
    </row>
    <row r="192">
      <c r="C192" s="13"/>
      <c r="D192" s="13"/>
    </row>
    <row r="193">
      <c r="C193" s="13"/>
      <c r="D193" s="13"/>
    </row>
    <row r="194">
      <c r="C194" s="13"/>
      <c r="D194" s="13"/>
    </row>
    <row r="195">
      <c r="C195" s="13"/>
      <c r="D195" s="13"/>
    </row>
    <row r="196">
      <c r="C196" s="13"/>
      <c r="D196" s="13"/>
    </row>
    <row r="197">
      <c r="C197" s="13"/>
      <c r="D197" s="13"/>
    </row>
    <row r="198">
      <c r="C198" s="13"/>
      <c r="D198" s="13"/>
    </row>
    <row r="199">
      <c r="C199" s="13"/>
      <c r="D199" s="13"/>
    </row>
    <row r="200">
      <c r="C200" s="13"/>
      <c r="D200" s="13"/>
    </row>
    <row r="201">
      <c r="C201" s="13"/>
      <c r="D201" s="13"/>
    </row>
    <row r="202">
      <c r="C202" s="13"/>
      <c r="D202" s="13"/>
    </row>
    <row r="203">
      <c r="C203" s="13"/>
      <c r="D203" s="13"/>
    </row>
    <row r="204">
      <c r="C204" s="13"/>
      <c r="D204" s="13"/>
    </row>
    <row r="205">
      <c r="C205" s="13"/>
      <c r="D205" s="13"/>
    </row>
    <row r="206">
      <c r="C206" s="13"/>
      <c r="D206" s="13"/>
    </row>
    <row r="207">
      <c r="C207" s="13"/>
      <c r="D207" s="13"/>
    </row>
    <row r="208">
      <c r="C208" s="13"/>
      <c r="D208" s="13"/>
    </row>
    <row r="209">
      <c r="C209" s="13"/>
      <c r="D209" s="13"/>
    </row>
    <row r="210">
      <c r="C210" s="13"/>
      <c r="D210" s="13"/>
    </row>
    <row r="211">
      <c r="C211" s="13"/>
      <c r="D211" s="13"/>
    </row>
    <row r="212">
      <c r="C212" s="13"/>
      <c r="D212" s="13"/>
    </row>
    <row r="213">
      <c r="C213" s="13"/>
      <c r="D213" s="13"/>
    </row>
    <row r="214">
      <c r="C214" s="13"/>
      <c r="D214" s="13"/>
    </row>
    <row r="215">
      <c r="C215" s="13"/>
      <c r="D215" s="13"/>
    </row>
    <row r="216">
      <c r="C216" s="13"/>
      <c r="D216" s="13"/>
    </row>
    <row r="217">
      <c r="C217" s="13"/>
      <c r="D217" s="13"/>
    </row>
    <row r="218">
      <c r="C218" s="13"/>
      <c r="D218" s="13"/>
    </row>
    <row r="219">
      <c r="C219" s="13"/>
      <c r="D219" s="13"/>
    </row>
    <row r="220">
      <c r="C220" s="13"/>
      <c r="D220" s="13"/>
    </row>
    <row r="221">
      <c r="C221" s="13"/>
      <c r="D221" s="13"/>
    </row>
    <row r="222">
      <c r="C222" s="13"/>
      <c r="D222" s="13"/>
    </row>
    <row r="223">
      <c r="C223" s="13"/>
      <c r="D223" s="13"/>
    </row>
    <row r="224">
      <c r="C224" s="13"/>
      <c r="D224" s="13"/>
    </row>
    <row r="225">
      <c r="C225" s="13"/>
      <c r="D225" s="13"/>
    </row>
    <row r="226">
      <c r="C226" s="13"/>
      <c r="D226" s="13"/>
    </row>
    <row r="227">
      <c r="C227" s="13"/>
      <c r="D227" s="13"/>
    </row>
    <row r="228">
      <c r="C228" s="13"/>
      <c r="D228" s="13"/>
    </row>
    <row r="229">
      <c r="C229" s="13"/>
      <c r="D229" s="13"/>
    </row>
    <row r="230">
      <c r="C230" s="13"/>
      <c r="D230" s="13"/>
    </row>
    <row r="231">
      <c r="C231" s="13"/>
      <c r="D231" s="13"/>
    </row>
    <row r="232">
      <c r="C232" s="13"/>
      <c r="D232" s="13"/>
    </row>
    <row r="233">
      <c r="C233" s="13"/>
      <c r="D233" s="13"/>
    </row>
    <row r="234">
      <c r="C234" s="13"/>
      <c r="D234" s="13"/>
    </row>
    <row r="235">
      <c r="C235" s="13"/>
      <c r="D235" s="13"/>
    </row>
    <row r="236">
      <c r="C236" s="13"/>
      <c r="D236" s="13"/>
    </row>
    <row r="237">
      <c r="C237" s="13"/>
      <c r="D237" s="13"/>
    </row>
    <row r="238">
      <c r="C238" s="13"/>
      <c r="D238" s="13"/>
    </row>
    <row r="239">
      <c r="C239" s="13"/>
      <c r="D239" s="13"/>
    </row>
    <row r="240">
      <c r="C240" s="13"/>
      <c r="D240" s="13"/>
    </row>
    <row r="241">
      <c r="C241" s="13"/>
      <c r="D241" s="13"/>
    </row>
    <row r="242">
      <c r="C242" s="13"/>
      <c r="D242" s="13"/>
    </row>
    <row r="243">
      <c r="C243" s="13"/>
      <c r="D243" s="13"/>
    </row>
    <row r="244">
      <c r="C244" s="13"/>
      <c r="D244" s="13"/>
    </row>
    <row r="245">
      <c r="C245" s="13"/>
      <c r="D245" s="13"/>
    </row>
    <row r="246">
      <c r="C246" s="13"/>
      <c r="D246" s="13"/>
    </row>
    <row r="247">
      <c r="C247" s="13"/>
      <c r="D247" s="13"/>
    </row>
    <row r="248">
      <c r="C248" s="13"/>
      <c r="D248" s="13"/>
    </row>
    <row r="249">
      <c r="C249" s="13"/>
      <c r="D249" s="13"/>
    </row>
    <row r="250">
      <c r="C250" s="13"/>
      <c r="D250" s="13"/>
    </row>
    <row r="251">
      <c r="C251" s="13"/>
      <c r="D251" s="13"/>
    </row>
    <row r="252">
      <c r="C252" s="13"/>
      <c r="D252" s="13"/>
    </row>
    <row r="253">
      <c r="C253" s="13"/>
      <c r="D253" s="13"/>
    </row>
    <row r="254">
      <c r="C254" s="13"/>
      <c r="D254" s="13"/>
    </row>
    <row r="255">
      <c r="C255" s="13"/>
      <c r="D255" s="13"/>
    </row>
    <row r="256">
      <c r="C256" s="13"/>
      <c r="D256" s="13"/>
    </row>
    <row r="257">
      <c r="C257" s="13"/>
      <c r="D257" s="13"/>
    </row>
    <row r="258">
      <c r="C258" s="13"/>
      <c r="D258" s="13"/>
    </row>
    <row r="259">
      <c r="C259" s="13"/>
      <c r="D259" s="13"/>
    </row>
    <row r="260">
      <c r="C260" s="13"/>
      <c r="D260" s="13"/>
    </row>
    <row r="261">
      <c r="C261" s="13"/>
      <c r="D261" s="13"/>
    </row>
    <row r="262">
      <c r="C262" s="13"/>
      <c r="D262" s="13"/>
    </row>
    <row r="263">
      <c r="C263" s="13"/>
      <c r="D263" s="13"/>
    </row>
    <row r="264">
      <c r="C264" s="13"/>
      <c r="D264" s="13"/>
    </row>
    <row r="265">
      <c r="C265" s="13"/>
      <c r="D265" s="13"/>
    </row>
    <row r="266">
      <c r="C266" s="13"/>
      <c r="D266" s="13"/>
    </row>
    <row r="267">
      <c r="C267" s="13"/>
      <c r="D267" s="13"/>
    </row>
    <row r="268">
      <c r="C268" s="13"/>
      <c r="D268" s="13"/>
    </row>
    <row r="269">
      <c r="C269" s="13"/>
      <c r="D269" s="13"/>
    </row>
    <row r="270">
      <c r="C270" s="13"/>
      <c r="D270" s="13"/>
    </row>
    <row r="271">
      <c r="C271" s="13"/>
      <c r="D271" s="13"/>
    </row>
    <row r="272">
      <c r="C272" s="13"/>
      <c r="D272" s="13"/>
    </row>
    <row r="273">
      <c r="C273" s="13"/>
      <c r="D273" s="13"/>
    </row>
    <row r="274">
      <c r="C274" s="13"/>
      <c r="D274" s="13"/>
    </row>
    <row r="275">
      <c r="C275" s="13"/>
      <c r="D275" s="13"/>
    </row>
    <row r="276">
      <c r="C276" s="13"/>
      <c r="D276" s="13"/>
    </row>
    <row r="277">
      <c r="C277" s="13"/>
      <c r="D277" s="13"/>
    </row>
    <row r="278">
      <c r="C278" s="13"/>
      <c r="D278" s="13"/>
    </row>
    <row r="279">
      <c r="C279" s="13"/>
      <c r="D279" s="13"/>
    </row>
    <row r="280">
      <c r="C280" s="13"/>
      <c r="D280" s="13"/>
    </row>
    <row r="281">
      <c r="C281" s="13"/>
      <c r="D281" s="13"/>
    </row>
    <row r="282">
      <c r="C282" s="13"/>
      <c r="D282" s="13"/>
    </row>
    <row r="283">
      <c r="C283" s="13"/>
      <c r="D283" s="13"/>
    </row>
    <row r="284">
      <c r="C284" s="13"/>
      <c r="D284" s="13"/>
    </row>
    <row r="285">
      <c r="C285" s="13"/>
      <c r="D285" s="13"/>
    </row>
    <row r="286">
      <c r="C286" s="13"/>
      <c r="D286" s="13"/>
    </row>
    <row r="287">
      <c r="C287" s="13"/>
      <c r="D287" s="13"/>
    </row>
    <row r="288">
      <c r="C288" s="13"/>
      <c r="D288" s="13"/>
    </row>
    <row r="289">
      <c r="C289" s="13"/>
      <c r="D289" s="13"/>
    </row>
    <row r="290">
      <c r="C290" s="13"/>
      <c r="D290" s="13"/>
    </row>
    <row r="291">
      <c r="C291" s="13"/>
      <c r="D291" s="13"/>
    </row>
    <row r="292">
      <c r="C292" s="13"/>
      <c r="D292" s="13"/>
    </row>
    <row r="293">
      <c r="C293" s="13"/>
      <c r="D293" s="13"/>
    </row>
    <row r="294">
      <c r="C294" s="13"/>
      <c r="D294" s="13"/>
    </row>
    <row r="295">
      <c r="C295" s="13"/>
      <c r="D295" s="13"/>
    </row>
    <row r="296">
      <c r="C296" s="13"/>
      <c r="D296" s="13"/>
    </row>
    <row r="297">
      <c r="C297" s="13"/>
      <c r="D297" s="13"/>
    </row>
    <row r="298">
      <c r="C298" s="13"/>
      <c r="D298" s="13"/>
    </row>
    <row r="299">
      <c r="C299" s="13"/>
      <c r="D299" s="13"/>
    </row>
    <row r="300">
      <c r="C300" s="13"/>
      <c r="D300" s="13"/>
    </row>
    <row r="301">
      <c r="C301" s="13"/>
      <c r="D301" s="13"/>
    </row>
    <row r="302">
      <c r="C302" s="13"/>
      <c r="D302" s="13"/>
    </row>
    <row r="303">
      <c r="C303" s="13"/>
      <c r="D303" s="13"/>
    </row>
    <row r="304">
      <c r="C304" s="13"/>
      <c r="D304" s="13"/>
    </row>
    <row r="305">
      <c r="C305" s="13"/>
      <c r="D305" s="13"/>
    </row>
    <row r="306">
      <c r="C306" s="13"/>
      <c r="D306" s="13"/>
    </row>
    <row r="307">
      <c r="C307" s="13"/>
      <c r="D307" s="13"/>
    </row>
    <row r="308">
      <c r="C308" s="13"/>
      <c r="D308" s="13"/>
    </row>
    <row r="309">
      <c r="C309" s="13"/>
      <c r="D309" s="13"/>
    </row>
    <row r="310">
      <c r="C310" s="13"/>
      <c r="D310" s="13"/>
    </row>
    <row r="311">
      <c r="C311" s="13"/>
      <c r="D311" s="13"/>
    </row>
    <row r="312">
      <c r="C312" s="13"/>
      <c r="D312" s="13"/>
    </row>
    <row r="313">
      <c r="C313" s="13"/>
      <c r="D313" s="13"/>
    </row>
    <row r="314">
      <c r="C314" s="13"/>
      <c r="D314" s="13"/>
    </row>
    <row r="315">
      <c r="C315" s="13"/>
      <c r="D315" s="13"/>
    </row>
    <row r="316">
      <c r="C316" s="13"/>
      <c r="D316" s="13"/>
    </row>
    <row r="317">
      <c r="C317" s="13"/>
      <c r="D317" s="13"/>
    </row>
    <row r="318">
      <c r="C318" s="13"/>
      <c r="D318" s="13"/>
    </row>
    <row r="319">
      <c r="C319" s="13"/>
      <c r="D319" s="13"/>
    </row>
    <row r="320">
      <c r="C320" s="13"/>
      <c r="D320" s="13"/>
    </row>
    <row r="321">
      <c r="C321" s="13"/>
      <c r="D321" s="13"/>
    </row>
    <row r="322">
      <c r="C322" s="13"/>
      <c r="D322" s="13"/>
    </row>
    <row r="323">
      <c r="C323" s="13"/>
      <c r="D323" s="13"/>
    </row>
    <row r="324">
      <c r="C324" s="13"/>
      <c r="D324" s="13"/>
    </row>
    <row r="325">
      <c r="C325" s="13"/>
      <c r="D325" s="13"/>
    </row>
    <row r="326">
      <c r="C326" s="13"/>
      <c r="D326" s="13"/>
    </row>
    <row r="327">
      <c r="C327" s="13"/>
      <c r="D327" s="13"/>
    </row>
    <row r="328">
      <c r="C328" s="13"/>
      <c r="D328" s="13"/>
    </row>
    <row r="329">
      <c r="C329" s="13"/>
      <c r="D329" s="13"/>
    </row>
    <row r="330">
      <c r="C330" s="13"/>
      <c r="D330" s="13"/>
    </row>
    <row r="331">
      <c r="C331" s="13"/>
      <c r="D331" s="13"/>
    </row>
    <row r="332">
      <c r="C332" s="13"/>
      <c r="D332" s="13"/>
    </row>
    <row r="333">
      <c r="C333" s="13"/>
      <c r="D333" s="13"/>
    </row>
    <row r="334">
      <c r="C334" s="13"/>
      <c r="D334" s="13"/>
    </row>
    <row r="335">
      <c r="C335" s="13"/>
      <c r="D335" s="13"/>
    </row>
    <row r="336">
      <c r="C336" s="13"/>
      <c r="D336" s="13"/>
    </row>
    <row r="337">
      <c r="C337" s="13"/>
      <c r="D337" s="13"/>
    </row>
    <row r="338">
      <c r="C338" s="13"/>
      <c r="D338" s="13"/>
    </row>
    <row r="339">
      <c r="C339" s="13"/>
      <c r="D339" s="13"/>
    </row>
    <row r="340">
      <c r="C340" s="13"/>
      <c r="D340" s="13"/>
    </row>
    <row r="341">
      <c r="C341" s="13"/>
      <c r="D341" s="13"/>
    </row>
    <row r="342">
      <c r="C342" s="13"/>
      <c r="D342" s="13"/>
    </row>
    <row r="343">
      <c r="C343" s="13"/>
      <c r="D343" s="13"/>
    </row>
    <row r="344">
      <c r="C344" s="13"/>
      <c r="D344" s="13"/>
    </row>
    <row r="345">
      <c r="C345" s="13"/>
      <c r="D345" s="13"/>
    </row>
    <row r="346">
      <c r="C346" s="13"/>
      <c r="D346" s="13"/>
    </row>
    <row r="347">
      <c r="C347" s="13"/>
      <c r="D347" s="13"/>
    </row>
    <row r="348">
      <c r="C348" s="13"/>
      <c r="D348" s="13"/>
    </row>
    <row r="349">
      <c r="C349" s="13"/>
      <c r="D349" s="13"/>
    </row>
    <row r="350">
      <c r="C350" s="13"/>
      <c r="D350" s="13"/>
    </row>
    <row r="351">
      <c r="C351" s="13"/>
      <c r="D351" s="13"/>
    </row>
    <row r="352">
      <c r="C352" s="13"/>
      <c r="D352" s="13"/>
    </row>
    <row r="353">
      <c r="C353" s="13"/>
      <c r="D353" s="13"/>
    </row>
    <row r="354">
      <c r="C354" s="13"/>
      <c r="D354" s="13"/>
    </row>
    <row r="355">
      <c r="C355" s="13"/>
      <c r="D355" s="13"/>
    </row>
    <row r="356">
      <c r="C356" s="13"/>
      <c r="D356" s="13"/>
    </row>
    <row r="357">
      <c r="C357" s="13"/>
      <c r="D357" s="13"/>
    </row>
    <row r="358">
      <c r="C358" s="13"/>
      <c r="D358" s="13"/>
    </row>
    <row r="359">
      <c r="C359" s="13"/>
      <c r="D359" s="13"/>
    </row>
    <row r="360">
      <c r="C360" s="13"/>
      <c r="D360" s="13"/>
    </row>
    <row r="361">
      <c r="C361" s="13"/>
      <c r="D361" s="13"/>
    </row>
    <row r="362">
      <c r="C362" s="13"/>
      <c r="D362" s="13"/>
    </row>
    <row r="363">
      <c r="C363" s="13"/>
      <c r="D363" s="13"/>
    </row>
    <row r="364">
      <c r="C364" s="13"/>
      <c r="D364" s="13"/>
    </row>
    <row r="365">
      <c r="C365" s="13"/>
      <c r="D365" s="13"/>
    </row>
    <row r="366">
      <c r="C366" s="13"/>
      <c r="D366" s="13"/>
    </row>
    <row r="367">
      <c r="C367" s="13"/>
      <c r="D367" s="13"/>
    </row>
    <row r="368">
      <c r="C368" s="13"/>
      <c r="D368" s="13"/>
    </row>
    <row r="369">
      <c r="C369" s="13"/>
      <c r="D369" s="13"/>
    </row>
    <row r="370">
      <c r="C370" s="13"/>
      <c r="D370" s="13"/>
    </row>
    <row r="371">
      <c r="C371" s="13"/>
      <c r="D371" s="13"/>
    </row>
    <row r="372">
      <c r="C372" s="13"/>
      <c r="D372" s="13"/>
    </row>
    <row r="373">
      <c r="C373" s="13"/>
      <c r="D373" s="13"/>
    </row>
    <row r="374">
      <c r="C374" s="13"/>
      <c r="D374" s="13"/>
    </row>
    <row r="375">
      <c r="C375" s="13"/>
      <c r="D375" s="13"/>
    </row>
    <row r="376">
      <c r="C376" s="13"/>
      <c r="D376" s="13"/>
    </row>
    <row r="377">
      <c r="C377" s="13"/>
      <c r="D377" s="13"/>
    </row>
    <row r="378">
      <c r="C378" s="13"/>
      <c r="D378" s="13"/>
    </row>
    <row r="379">
      <c r="C379" s="13"/>
      <c r="D379" s="13"/>
    </row>
    <row r="380">
      <c r="C380" s="13"/>
      <c r="D380" s="13"/>
    </row>
    <row r="381">
      <c r="C381" s="13"/>
      <c r="D381" s="13"/>
    </row>
    <row r="382">
      <c r="C382" s="13"/>
      <c r="D382" s="13"/>
    </row>
    <row r="383">
      <c r="C383" s="13"/>
      <c r="D383" s="13"/>
    </row>
    <row r="384">
      <c r="C384" s="13"/>
      <c r="D384" s="13"/>
    </row>
    <row r="385">
      <c r="C385" s="13"/>
      <c r="D385" s="13"/>
    </row>
    <row r="386">
      <c r="C386" s="13"/>
      <c r="D386" s="13"/>
    </row>
    <row r="387">
      <c r="C387" s="13"/>
      <c r="D387" s="13"/>
    </row>
    <row r="388">
      <c r="C388" s="13"/>
      <c r="D388" s="13"/>
    </row>
    <row r="389">
      <c r="C389" s="13"/>
      <c r="D389" s="13"/>
    </row>
    <row r="390">
      <c r="C390" s="13"/>
      <c r="D390" s="13"/>
    </row>
    <row r="391">
      <c r="C391" s="13"/>
      <c r="D391" s="13"/>
    </row>
    <row r="392">
      <c r="C392" s="13"/>
      <c r="D392" s="13"/>
    </row>
    <row r="393">
      <c r="C393" s="13"/>
      <c r="D393" s="13"/>
    </row>
    <row r="394">
      <c r="C394" s="13"/>
      <c r="D394" s="13"/>
    </row>
    <row r="395">
      <c r="C395" s="13"/>
      <c r="D395" s="13"/>
    </row>
    <row r="396">
      <c r="C396" s="13"/>
      <c r="D396" s="13"/>
    </row>
    <row r="397">
      <c r="C397" s="13"/>
      <c r="D397" s="13"/>
    </row>
    <row r="398">
      <c r="C398" s="13"/>
      <c r="D398" s="13"/>
    </row>
    <row r="399">
      <c r="C399" s="13"/>
      <c r="D399" s="13"/>
    </row>
    <row r="400">
      <c r="C400" s="13"/>
      <c r="D400" s="13"/>
    </row>
    <row r="401">
      <c r="C401" s="13"/>
      <c r="D401" s="13"/>
    </row>
    <row r="402">
      <c r="C402" s="13"/>
      <c r="D402" s="13"/>
    </row>
    <row r="403">
      <c r="C403" s="13"/>
      <c r="D403" s="13"/>
    </row>
    <row r="404">
      <c r="C404" s="13"/>
      <c r="D404" s="13"/>
    </row>
    <row r="405">
      <c r="C405" s="13"/>
      <c r="D405" s="13"/>
    </row>
    <row r="406">
      <c r="C406" s="13"/>
      <c r="D406" s="13"/>
    </row>
    <row r="407">
      <c r="C407" s="13"/>
      <c r="D407" s="13"/>
    </row>
    <row r="408">
      <c r="C408" s="13"/>
      <c r="D408" s="13"/>
    </row>
    <row r="409">
      <c r="C409" s="13"/>
      <c r="D409" s="13"/>
    </row>
    <row r="410">
      <c r="C410" s="13"/>
      <c r="D410" s="13"/>
    </row>
    <row r="411">
      <c r="C411" s="13"/>
      <c r="D411" s="13"/>
    </row>
    <row r="412">
      <c r="C412" s="13"/>
      <c r="D412" s="13"/>
    </row>
    <row r="413">
      <c r="C413" s="13"/>
      <c r="D413" s="13"/>
    </row>
    <row r="414">
      <c r="C414" s="13"/>
      <c r="D414" s="13"/>
    </row>
    <row r="415">
      <c r="C415" s="13"/>
      <c r="D415" s="13"/>
    </row>
    <row r="416">
      <c r="C416" s="13"/>
      <c r="D416" s="13"/>
    </row>
    <row r="417">
      <c r="C417" s="13"/>
      <c r="D417" s="13"/>
    </row>
    <row r="418">
      <c r="C418" s="13"/>
      <c r="D418" s="13"/>
    </row>
    <row r="419">
      <c r="C419" s="13"/>
      <c r="D419" s="13"/>
    </row>
    <row r="420">
      <c r="C420" s="13"/>
      <c r="D420" s="13"/>
    </row>
    <row r="421">
      <c r="C421" s="13"/>
      <c r="D421" s="13"/>
    </row>
    <row r="422">
      <c r="C422" s="13"/>
      <c r="D422" s="13"/>
    </row>
    <row r="423">
      <c r="C423" s="13"/>
      <c r="D423" s="13"/>
    </row>
    <row r="424">
      <c r="C424" s="13"/>
      <c r="D424" s="13"/>
    </row>
    <row r="425">
      <c r="C425" s="13"/>
      <c r="D425" s="13"/>
    </row>
    <row r="426">
      <c r="C426" s="13"/>
      <c r="D426" s="13"/>
    </row>
    <row r="427">
      <c r="C427" s="13"/>
      <c r="D427" s="13"/>
    </row>
    <row r="428">
      <c r="C428" s="13"/>
      <c r="D428" s="13"/>
    </row>
    <row r="429">
      <c r="C429" s="13"/>
      <c r="D429" s="13"/>
    </row>
    <row r="430">
      <c r="C430" s="13"/>
      <c r="D430" s="13"/>
    </row>
    <row r="431">
      <c r="C431" s="13"/>
      <c r="D431" s="13"/>
    </row>
    <row r="432">
      <c r="C432" s="13"/>
      <c r="D432" s="13"/>
    </row>
    <row r="433">
      <c r="C433" s="13"/>
      <c r="D433" s="13"/>
    </row>
    <row r="434">
      <c r="C434" s="13"/>
      <c r="D434" s="13"/>
    </row>
    <row r="435">
      <c r="C435" s="13"/>
      <c r="D435" s="13"/>
    </row>
    <row r="436">
      <c r="C436" s="13"/>
      <c r="D436" s="13"/>
    </row>
    <row r="437">
      <c r="C437" s="13"/>
      <c r="D437" s="13"/>
    </row>
    <row r="438">
      <c r="C438" s="13"/>
      <c r="D438" s="13"/>
    </row>
    <row r="439">
      <c r="C439" s="13"/>
      <c r="D439" s="13"/>
    </row>
    <row r="440">
      <c r="C440" s="13"/>
      <c r="D440" s="13"/>
    </row>
    <row r="441">
      <c r="C441" s="13"/>
      <c r="D441" s="13"/>
    </row>
    <row r="442">
      <c r="C442" s="13"/>
      <c r="D442" s="13"/>
    </row>
    <row r="443">
      <c r="C443" s="13"/>
      <c r="D443" s="13"/>
    </row>
    <row r="444">
      <c r="C444" s="13"/>
      <c r="D444" s="13"/>
    </row>
    <row r="445">
      <c r="C445" s="13"/>
      <c r="D445" s="13"/>
    </row>
    <row r="446">
      <c r="C446" s="13"/>
      <c r="D446" s="13"/>
    </row>
    <row r="447">
      <c r="C447" s="13"/>
      <c r="D447" s="13"/>
    </row>
    <row r="448">
      <c r="C448" s="13"/>
      <c r="D448" s="13"/>
    </row>
    <row r="449">
      <c r="C449" s="13"/>
      <c r="D449" s="13"/>
    </row>
    <row r="450">
      <c r="C450" s="13"/>
      <c r="D450" s="13"/>
    </row>
    <row r="451">
      <c r="C451" s="13"/>
      <c r="D451" s="13"/>
    </row>
    <row r="452">
      <c r="C452" s="13"/>
      <c r="D452" s="13"/>
    </row>
    <row r="453">
      <c r="C453" s="13"/>
      <c r="D453" s="13"/>
    </row>
    <row r="454">
      <c r="C454" s="13"/>
      <c r="D454" s="13"/>
    </row>
    <row r="455">
      <c r="C455" s="13"/>
      <c r="D455" s="13"/>
    </row>
    <row r="456">
      <c r="C456" s="13"/>
      <c r="D456" s="13"/>
    </row>
    <row r="457">
      <c r="C457" s="13"/>
      <c r="D457" s="13"/>
    </row>
    <row r="458">
      <c r="C458" s="13"/>
      <c r="D458" s="13"/>
    </row>
    <row r="459">
      <c r="C459" s="13"/>
      <c r="D459" s="13"/>
    </row>
    <row r="460">
      <c r="C460" s="13"/>
      <c r="D460" s="13"/>
    </row>
    <row r="461">
      <c r="C461" s="13"/>
      <c r="D461" s="13"/>
    </row>
    <row r="462">
      <c r="C462" s="13"/>
      <c r="D462" s="13"/>
    </row>
    <row r="463">
      <c r="C463" s="13"/>
      <c r="D463" s="13"/>
    </row>
    <row r="464">
      <c r="C464" s="13"/>
      <c r="D464" s="13"/>
    </row>
    <row r="465">
      <c r="C465" s="13"/>
      <c r="D465" s="13"/>
    </row>
    <row r="466">
      <c r="C466" s="13"/>
      <c r="D466" s="13"/>
    </row>
    <row r="467">
      <c r="C467" s="13"/>
      <c r="D467" s="13"/>
    </row>
    <row r="468">
      <c r="C468" s="13"/>
      <c r="D468" s="13"/>
    </row>
    <row r="469">
      <c r="C469" s="13"/>
      <c r="D469" s="13"/>
    </row>
    <row r="470">
      <c r="C470" s="13"/>
      <c r="D470" s="13"/>
    </row>
    <row r="471">
      <c r="C471" s="13"/>
      <c r="D471" s="13"/>
    </row>
    <row r="472">
      <c r="C472" s="13"/>
      <c r="D472" s="13"/>
    </row>
    <row r="473">
      <c r="C473" s="13"/>
      <c r="D473" s="13"/>
    </row>
    <row r="474">
      <c r="C474" s="13"/>
      <c r="D474" s="13"/>
    </row>
    <row r="475">
      <c r="C475" s="13"/>
      <c r="D475" s="13"/>
    </row>
    <row r="476">
      <c r="C476" s="13"/>
      <c r="D476" s="13"/>
    </row>
    <row r="477">
      <c r="C477" s="13"/>
      <c r="D477" s="13"/>
    </row>
    <row r="478">
      <c r="C478" s="13"/>
      <c r="D478" s="13"/>
    </row>
    <row r="479">
      <c r="C479" s="13"/>
      <c r="D479" s="13"/>
    </row>
    <row r="480">
      <c r="C480" s="13"/>
      <c r="D480" s="13"/>
    </row>
    <row r="481">
      <c r="C481" s="13"/>
      <c r="D481" s="13"/>
    </row>
    <row r="482">
      <c r="C482" s="13"/>
      <c r="D482" s="13"/>
    </row>
    <row r="483">
      <c r="C483" s="13"/>
      <c r="D483" s="13"/>
    </row>
    <row r="484">
      <c r="C484" s="13"/>
      <c r="D484" s="13"/>
    </row>
    <row r="485">
      <c r="C485" s="13"/>
      <c r="D485" s="13"/>
    </row>
    <row r="486">
      <c r="C486" s="13"/>
      <c r="D486" s="13"/>
    </row>
    <row r="487">
      <c r="C487" s="13"/>
      <c r="D487" s="13"/>
    </row>
    <row r="488">
      <c r="C488" s="13"/>
      <c r="D488" s="13"/>
    </row>
    <row r="489">
      <c r="C489" s="13"/>
      <c r="D489" s="13"/>
    </row>
    <row r="490">
      <c r="C490" s="13"/>
      <c r="D490" s="13"/>
    </row>
    <row r="491">
      <c r="C491" s="13"/>
      <c r="D491" s="13"/>
    </row>
    <row r="492">
      <c r="C492" s="13"/>
      <c r="D492" s="13"/>
    </row>
    <row r="493">
      <c r="C493" s="13"/>
      <c r="D493" s="13"/>
    </row>
    <row r="494">
      <c r="C494" s="13"/>
      <c r="D494" s="13"/>
    </row>
    <row r="495">
      <c r="C495" s="13"/>
      <c r="D495" s="13"/>
    </row>
    <row r="496">
      <c r="C496" s="13"/>
      <c r="D496" s="13"/>
    </row>
    <row r="497">
      <c r="C497" s="13"/>
      <c r="D497" s="13"/>
    </row>
    <row r="498">
      <c r="C498" s="13"/>
      <c r="D498" s="13"/>
    </row>
    <row r="499">
      <c r="C499" s="13"/>
      <c r="D499" s="13"/>
    </row>
    <row r="500">
      <c r="C500" s="13"/>
      <c r="D500" s="13"/>
    </row>
    <row r="501">
      <c r="C501" s="13"/>
      <c r="D501" s="13"/>
    </row>
    <row r="502">
      <c r="C502" s="13"/>
      <c r="D502" s="13"/>
    </row>
    <row r="503">
      <c r="C503" s="13"/>
      <c r="D503" s="13"/>
    </row>
    <row r="504">
      <c r="C504" s="13"/>
      <c r="D504" s="13"/>
    </row>
    <row r="505">
      <c r="C505" s="13"/>
      <c r="D505" s="13"/>
    </row>
    <row r="506">
      <c r="C506" s="13"/>
      <c r="D506" s="13"/>
    </row>
    <row r="507">
      <c r="C507" s="13"/>
      <c r="D507" s="13"/>
    </row>
    <row r="508">
      <c r="C508" s="13"/>
      <c r="D508" s="13"/>
    </row>
    <row r="509">
      <c r="C509" s="13"/>
      <c r="D509" s="13"/>
    </row>
    <row r="510">
      <c r="C510" s="13"/>
      <c r="D510" s="13"/>
    </row>
    <row r="511">
      <c r="C511" s="13"/>
      <c r="D511" s="13"/>
    </row>
    <row r="512">
      <c r="C512" s="13"/>
      <c r="D512" s="13"/>
    </row>
    <row r="513">
      <c r="C513" s="13"/>
      <c r="D513" s="13"/>
    </row>
    <row r="514">
      <c r="C514" s="13"/>
      <c r="D514" s="13"/>
    </row>
    <row r="515">
      <c r="C515" s="13"/>
      <c r="D515" s="13"/>
    </row>
    <row r="516">
      <c r="C516" s="13"/>
      <c r="D516" s="13"/>
    </row>
    <row r="517">
      <c r="C517" s="13"/>
      <c r="D517" s="13"/>
    </row>
    <row r="518">
      <c r="C518" s="13"/>
      <c r="D518" s="13"/>
    </row>
    <row r="519">
      <c r="C519" s="13"/>
      <c r="D519" s="13"/>
    </row>
    <row r="520">
      <c r="C520" s="13"/>
      <c r="D520" s="13"/>
    </row>
    <row r="521">
      <c r="C521" s="13"/>
      <c r="D521" s="13"/>
    </row>
    <row r="522">
      <c r="C522" s="13"/>
      <c r="D522" s="13"/>
    </row>
    <row r="523">
      <c r="C523" s="13"/>
      <c r="D523" s="13"/>
    </row>
    <row r="524">
      <c r="C524" s="13"/>
      <c r="D524" s="13"/>
    </row>
    <row r="525">
      <c r="C525" s="13"/>
      <c r="D525" s="13"/>
    </row>
    <row r="526">
      <c r="C526" s="13"/>
      <c r="D526" s="13"/>
    </row>
    <row r="527">
      <c r="C527" s="13"/>
      <c r="D527" s="13"/>
    </row>
    <row r="528">
      <c r="C528" s="13"/>
      <c r="D528" s="13"/>
    </row>
    <row r="529">
      <c r="C529" s="13"/>
      <c r="D529" s="13"/>
    </row>
    <row r="530">
      <c r="C530" s="13"/>
      <c r="D530" s="13"/>
    </row>
    <row r="531">
      <c r="C531" s="13"/>
      <c r="D531" s="13"/>
    </row>
    <row r="532">
      <c r="C532" s="13"/>
      <c r="D532" s="13"/>
    </row>
    <row r="533">
      <c r="C533" s="13"/>
      <c r="D533" s="13"/>
    </row>
    <row r="534">
      <c r="C534" s="13"/>
      <c r="D534" s="13"/>
    </row>
    <row r="535">
      <c r="C535" s="13"/>
      <c r="D535" s="13"/>
    </row>
    <row r="536">
      <c r="C536" s="13"/>
      <c r="D536" s="13"/>
    </row>
    <row r="537">
      <c r="C537" s="13"/>
      <c r="D537" s="13"/>
    </row>
    <row r="538">
      <c r="C538" s="13"/>
      <c r="D538" s="13"/>
    </row>
    <row r="539">
      <c r="C539" s="13"/>
      <c r="D539" s="13"/>
    </row>
    <row r="540">
      <c r="C540" s="13"/>
      <c r="D540" s="13"/>
    </row>
    <row r="541">
      <c r="C541" s="13"/>
      <c r="D541" s="13"/>
    </row>
    <row r="542">
      <c r="C542" s="13"/>
      <c r="D542" s="13"/>
    </row>
    <row r="543">
      <c r="C543" s="13"/>
      <c r="D543" s="13"/>
    </row>
    <row r="544">
      <c r="C544" s="13"/>
      <c r="D544" s="13"/>
    </row>
    <row r="545">
      <c r="C545" s="13"/>
      <c r="D545" s="13"/>
    </row>
    <row r="546">
      <c r="C546" s="13"/>
      <c r="D546" s="13"/>
    </row>
    <row r="547">
      <c r="C547" s="13"/>
      <c r="D547" s="13"/>
    </row>
    <row r="548">
      <c r="C548" s="13"/>
      <c r="D548" s="13"/>
    </row>
    <row r="549">
      <c r="C549" s="13"/>
      <c r="D549" s="13"/>
    </row>
    <row r="550">
      <c r="C550" s="13"/>
      <c r="D550" s="13"/>
    </row>
    <row r="551">
      <c r="C551" s="13"/>
      <c r="D551" s="13"/>
    </row>
    <row r="552">
      <c r="C552" s="13"/>
      <c r="D552" s="13"/>
    </row>
    <row r="553">
      <c r="C553" s="13"/>
      <c r="D553" s="13"/>
    </row>
    <row r="554">
      <c r="C554" s="13"/>
      <c r="D554" s="13"/>
    </row>
    <row r="555">
      <c r="C555" s="13"/>
      <c r="D555" s="13"/>
    </row>
    <row r="556">
      <c r="C556" s="13"/>
      <c r="D556" s="13"/>
    </row>
    <row r="557">
      <c r="C557" s="13"/>
      <c r="D557" s="13"/>
    </row>
    <row r="558">
      <c r="C558" s="13"/>
      <c r="D558" s="13"/>
    </row>
    <row r="559">
      <c r="C559" s="13"/>
      <c r="D559" s="13"/>
    </row>
    <row r="560">
      <c r="C560" s="13"/>
      <c r="D560" s="13"/>
    </row>
    <row r="561">
      <c r="C561" s="13"/>
      <c r="D561" s="13"/>
    </row>
    <row r="562">
      <c r="C562" s="13"/>
      <c r="D562" s="13"/>
    </row>
    <row r="563">
      <c r="C563" s="13"/>
      <c r="D563" s="13"/>
    </row>
    <row r="564">
      <c r="C564" s="13"/>
      <c r="D564" s="13"/>
    </row>
    <row r="565">
      <c r="C565" s="13"/>
      <c r="D565" s="13"/>
    </row>
    <row r="566">
      <c r="C566" s="13"/>
      <c r="D566" s="13"/>
    </row>
    <row r="567">
      <c r="C567" s="13"/>
      <c r="D567" s="13"/>
    </row>
    <row r="568">
      <c r="C568" s="13"/>
      <c r="D568" s="13"/>
    </row>
    <row r="569">
      <c r="C569" s="13"/>
      <c r="D569" s="13"/>
    </row>
    <row r="570">
      <c r="C570" s="13"/>
      <c r="D570" s="13"/>
    </row>
    <row r="571">
      <c r="C571" s="13"/>
      <c r="D571" s="13"/>
    </row>
    <row r="572">
      <c r="C572" s="13"/>
      <c r="D572" s="13"/>
    </row>
    <row r="573">
      <c r="C573" s="13"/>
      <c r="D573" s="13"/>
    </row>
    <row r="574">
      <c r="C574" s="13"/>
      <c r="D574" s="13"/>
    </row>
    <row r="575">
      <c r="C575" s="13"/>
      <c r="D575" s="13"/>
    </row>
    <row r="576">
      <c r="C576" s="13"/>
      <c r="D576" s="13"/>
    </row>
    <row r="577">
      <c r="C577" s="13"/>
      <c r="D577" s="13"/>
    </row>
    <row r="578">
      <c r="C578" s="13"/>
      <c r="D578" s="13"/>
    </row>
    <row r="579">
      <c r="C579" s="13"/>
      <c r="D579" s="13"/>
    </row>
    <row r="580">
      <c r="C580" s="13"/>
      <c r="D580" s="13"/>
    </row>
    <row r="581">
      <c r="C581" s="13"/>
      <c r="D581" s="13"/>
    </row>
    <row r="582">
      <c r="C582" s="13"/>
      <c r="D582" s="13"/>
    </row>
    <row r="583">
      <c r="C583" s="13"/>
      <c r="D583" s="13"/>
    </row>
    <row r="584">
      <c r="C584" s="13"/>
      <c r="D584" s="13"/>
    </row>
    <row r="585">
      <c r="C585" s="13"/>
      <c r="D585" s="13"/>
    </row>
    <row r="586">
      <c r="C586" s="13"/>
      <c r="D586" s="13"/>
    </row>
    <row r="587">
      <c r="C587" s="13"/>
      <c r="D587" s="13"/>
    </row>
    <row r="588">
      <c r="C588" s="13"/>
      <c r="D588" s="13"/>
    </row>
    <row r="589">
      <c r="C589" s="13"/>
      <c r="D589" s="13"/>
    </row>
    <row r="590">
      <c r="C590" s="13"/>
      <c r="D590" s="13"/>
    </row>
    <row r="591">
      <c r="C591" s="13"/>
      <c r="D591" s="13"/>
    </row>
    <row r="592">
      <c r="C592" s="13"/>
      <c r="D592" s="13"/>
    </row>
    <row r="593">
      <c r="C593" s="13"/>
      <c r="D593" s="13"/>
    </row>
    <row r="594">
      <c r="C594" s="13"/>
      <c r="D594" s="13"/>
    </row>
    <row r="595">
      <c r="C595" s="13"/>
      <c r="D595" s="13"/>
    </row>
    <row r="596">
      <c r="C596" s="13"/>
      <c r="D596" s="13"/>
    </row>
    <row r="597">
      <c r="C597" s="13"/>
      <c r="D597" s="13"/>
    </row>
    <row r="598">
      <c r="C598" s="13"/>
      <c r="D598" s="13"/>
    </row>
    <row r="599">
      <c r="C599" s="13"/>
      <c r="D599" s="13"/>
    </row>
    <row r="600">
      <c r="C600" s="13"/>
      <c r="D600" s="13"/>
    </row>
    <row r="601">
      <c r="C601" s="13"/>
      <c r="D601" s="13"/>
    </row>
    <row r="602">
      <c r="C602" s="13"/>
      <c r="D602" s="13"/>
    </row>
    <row r="603">
      <c r="C603" s="13"/>
      <c r="D603" s="13"/>
    </row>
    <row r="604">
      <c r="C604" s="13"/>
      <c r="D604" s="13"/>
    </row>
    <row r="605">
      <c r="C605" s="13"/>
      <c r="D605" s="13"/>
    </row>
    <row r="606">
      <c r="C606" s="13"/>
      <c r="D606" s="13"/>
    </row>
    <row r="607">
      <c r="C607" s="13"/>
      <c r="D607" s="13"/>
    </row>
    <row r="608">
      <c r="C608" s="13"/>
      <c r="D608" s="13"/>
    </row>
    <row r="609">
      <c r="C609" s="13"/>
      <c r="D609" s="13"/>
    </row>
    <row r="610">
      <c r="C610" s="13"/>
      <c r="D610" s="13"/>
    </row>
    <row r="611">
      <c r="C611" s="13"/>
      <c r="D611" s="13"/>
    </row>
    <row r="612">
      <c r="C612" s="13"/>
      <c r="D612" s="13"/>
    </row>
    <row r="613">
      <c r="C613" s="13"/>
      <c r="D613" s="13"/>
    </row>
    <row r="614">
      <c r="C614" s="13"/>
      <c r="D614" s="13"/>
    </row>
    <row r="615">
      <c r="C615" s="13"/>
      <c r="D615" s="13"/>
    </row>
    <row r="616">
      <c r="C616" s="13"/>
      <c r="D616" s="13"/>
    </row>
    <row r="617">
      <c r="C617" s="13"/>
      <c r="D617" s="13"/>
    </row>
    <row r="618">
      <c r="C618" s="13"/>
      <c r="D618" s="13"/>
    </row>
    <row r="619">
      <c r="C619" s="13"/>
      <c r="D619" s="13"/>
    </row>
    <row r="620">
      <c r="C620" s="13"/>
      <c r="D620" s="13"/>
    </row>
    <row r="621">
      <c r="C621" s="13"/>
      <c r="D621" s="13"/>
    </row>
    <row r="622">
      <c r="C622" s="13"/>
      <c r="D622" s="13"/>
    </row>
    <row r="623">
      <c r="C623" s="13"/>
      <c r="D623" s="13"/>
    </row>
    <row r="624">
      <c r="C624" s="13"/>
      <c r="D624" s="13"/>
    </row>
    <row r="625">
      <c r="C625" s="13"/>
      <c r="D625" s="13"/>
    </row>
    <row r="626">
      <c r="C626" s="13"/>
      <c r="D626" s="13"/>
    </row>
    <row r="627">
      <c r="C627" s="13"/>
      <c r="D627" s="13"/>
    </row>
    <row r="628">
      <c r="C628" s="13"/>
      <c r="D628" s="13"/>
    </row>
    <row r="629">
      <c r="C629" s="13"/>
      <c r="D629" s="13"/>
    </row>
    <row r="630">
      <c r="C630" s="13"/>
      <c r="D630" s="13"/>
    </row>
    <row r="631">
      <c r="C631" s="13"/>
      <c r="D631" s="13"/>
    </row>
    <row r="632">
      <c r="C632" s="13"/>
      <c r="D632" s="13"/>
    </row>
    <row r="633">
      <c r="C633" s="13"/>
      <c r="D633" s="13"/>
    </row>
    <row r="634">
      <c r="C634" s="13"/>
      <c r="D634" s="13"/>
    </row>
    <row r="635">
      <c r="C635" s="13"/>
      <c r="D635" s="13"/>
    </row>
    <row r="636">
      <c r="C636" s="13"/>
      <c r="D636" s="13"/>
    </row>
    <row r="637">
      <c r="C637" s="13"/>
      <c r="D637" s="13"/>
    </row>
    <row r="638">
      <c r="C638" s="13"/>
      <c r="D638" s="13"/>
    </row>
    <row r="639">
      <c r="C639" s="13"/>
      <c r="D639" s="13"/>
    </row>
    <row r="640">
      <c r="C640" s="13"/>
      <c r="D640" s="13"/>
    </row>
    <row r="641">
      <c r="C641" s="13"/>
      <c r="D641" s="13"/>
    </row>
    <row r="642">
      <c r="C642" s="13"/>
      <c r="D642" s="13"/>
    </row>
    <row r="643">
      <c r="C643" s="13"/>
      <c r="D643" s="13"/>
    </row>
    <row r="644">
      <c r="C644" s="13"/>
      <c r="D644" s="13"/>
    </row>
    <row r="645">
      <c r="C645" s="13"/>
      <c r="D645" s="13"/>
    </row>
    <row r="646">
      <c r="C646" s="13"/>
      <c r="D646" s="13"/>
    </row>
    <row r="647">
      <c r="C647" s="13"/>
      <c r="D647" s="13"/>
    </row>
    <row r="648">
      <c r="C648" s="13"/>
      <c r="D648" s="13"/>
    </row>
    <row r="649">
      <c r="C649" s="13"/>
      <c r="D649" s="13"/>
    </row>
    <row r="650">
      <c r="C650" s="13"/>
      <c r="D650" s="13"/>
    </row>
    <row r="651">
      <c r="C651" s="13"/>
      <c r="D651" s="13"/>
    </row>
    <row r="652">
      <c r="C652" s="13"/>
      <c r="D652" s="13"/>
    </row>
    <row r="653">
      <c r="C653" s="13"/>
      <c r="D653" s="13"/>
    </row>
    <row r="654">
      <c r="C654" s="13"/>
      <c r="D654" s="13"/>
    </row>
    <row r="655">
      <c r="C655" s="13"/>
      <c r="D655" s="13"/>
    </row>
    <row r="656">
      <c r="C656" s="13"/>
      <c r="D656" s="13"/>
    </row>
    <row r="657">
      <c r="C657" s="13"/>
      <c r="D657" s="13"/>
    </row>
    <row r="658">
      <c r="C658" s="13"/>
      <c r="D658" s="13"/>
    </row>
    <row r="659">
      <c r="C659" s="13"/>
      <c r="D659" s="13"/>
    </row>
    <row r="660">
      <c r="C660" s="13"/>
      <c r="D660" s="13"/>
    </row>
    <row r="661">
      <c r="C661" s="13"/>
      <c r="D661" s="13"/>
    </row>
    <row r="662">
      <c r="C662" s="13"/>
      <c r="D662" s="13"/>
    </row>
    <row r="663">
      <c r="C663" s="13"/>
      <c r="D663" s="13"/>
    </row>
    <row r="664">
      <c r="C664" s="13"/>
      <c r="D664" s="13"/>
    </row>
    <row r="665">
      <c r="C665" s="13"/>
      <c r="D665" s="13"/>
    </row>
    <row r="666">
      <c r="C666" s="13"/>
      <c r="D666" s="13"/>
    </row>
    <row r="667">
      <c r="C667" s="13"/>
      <c r="D667" s="13"/>
    </row>
    <row r="668">
      <c r="C668" s="13"/>
      <c r="D668" s="13"/>
    </row>
    <row r="669">
      <c r="C669" s="13"/>
      <c r="D669" s="13"/>
    </row>
    <row r="670">
      <c r="C670" s="13"/>
      <c r="D670" s="13"/>
    </row>
    <row r="671">
      <c r="C671" s="13"/>
      <c r="D671" s="13"/>
    </row>
    <row r="672">
      <c r="C672" s="13"/>
      <c r="D672" s="13"/>
    </row>
    <row r="673">
      <c r="C673" s="13"/>
      <c r="D673" s="13"/>
    </row>
    <row r="674">
      <c r="C674" s="13"/>
      <c r="D674" s="13"/>
    </row>
    <row r="675">
      <c r="C675" s="13"/>
      <c r="D675" s="13"/>
    </row>
    <row r="676">
      <c r="C676" s="13"/>
      <c r="D676" s="13"/>
    </row>
    <row r="677">
      <c r="C677" s="13"/>
      <c r="D677" s="13"/>
    </row>
    <row r="678">
      <c r="C678" s="13"/>
      <c r="D678" s="13"/>
    </row>
    <row r="679">
      <c r="C679" s="13"/>
      <c r="D679" s="13"/>
    </row>
    <row r="680">
      <c r="C680" s="13"/>
      <c r="D680" s="13"/>
    </row>
    <row r="681">
      <c r="C681" s="13"/>
      <c r="D681" s="13"/>
    </row>
    <row r="682">
      <c r="C682" s="13"/>
      <c r="D682" s="13"/>
    </row>
    <row r="683">
      <c r="C683" s="13"/>
      <c r="D683" s="13"/>
    </row>
    <row r="684">
      <c r="C684" s="13"/>
      <c r="D684" s="13"/>
    </row>
    <row r="685">
      <c r="C685" s="13"/>
      <c r="D685" s="13"/>
    </row>
    <row r="686">
      <c r="C686" s="13"/>
      <c r="D686" s="13"/>
    </row>
    <row r="687">
      <c r="C687" s="13"/>
      <c r="D687" s="13"/>
    </row>
    <row r="688">
      <c r="C688" s="13"/>
      <c r="D688" s="13"/>
    </row>
    <row r="689">
      <c r="C689" s="13"/>
      <c r="D689" s="13"/>
    </row>
    <row r="690">
      <c r="C690" s="13"/>
      <c r="D690" s="13"/>
    </row>
    <row r="691">
      <c r="C691" s="13"/>
      <c r="D691" s="13"/>
    </row>
    <row r="692">
      <c r="C692" s="13"/>
      <c r="D692" s="13"/>
    </row>
    <row r="693">
      <c r="C693" s="13"/>
      <c r="D693" s="13"/>
    </row>
    <row r="694">
      <c r="C694" s="13"/>
      <c r="D694" s="13"/>
    </row>
    <row r="695">
      <c r="C695" s="13"/>
      <c r="D695" s="13"/>
    </row>
    <row r="696">
      <c r="C696" s="13"/>
      <c r="D696" s="13"/>
    </row>
    <row r="697">
      <c r="C697" s="13"/>
      <c r="D697" s="13"/>
    </row>
    <row r="698">
      <c r="C698" s="13"/>
      <c r="D698" s="13"/>
    </row>
    <row r="699">
      <c r="C699" s="13"/>
      <c r="D699" s="13"/>
    </row>
    <row r="700">
      <c r="C700" s="13"/>
      <c r="D700" s="13"/>
    </row>
    <row r="701">
      <c r="C701" s="13"/>
      <c r="D701" s="13"/>
    </row>
    <row r="702">
      <c r="C702" s="13"/>
      <c r="D702" s="13"/>
    </row>
    <row r="703">
      <c r="C703" s="13"/>
      <c r="D703" s="13"/>
    </row>
    <row r="704">
      <c r="C704" s="13"/>
      <c r="D704" s="13"/>
    </row>
    <row r="705">
      <c r="C705" s="13"/>
      <c r="D705" s="13"/>
    </row>
    <row r="706">
      <c r="C706" s="13"/>
      <c r="D706" s="13"/>
    </row>
    <row r="707">
      <c r="C707" s="13"/>
      <c r="D707" s="13"/>
    </row>
    <row r="708">
      <c r="C708" s="13"/>
      <c r="D708" s="13"/>
    </row>
    <row r="709">
      <c r="C709" s="13"/>
      <c r="D709" s="13"/>
    </row>
    <row r="710">
      <c r="C710" s="13"/>
      <c r="D710" s="13"/>
    </row>
    <row r="711">
      <c r="C711" s="13"/>
      <c r="D711" s="13"/>
    </row>
    <row r="712">
      <c r="C712" s="13"/>
      <c r="D712" s="13"/>
    </row>
    <row r="713">
      <c r="C713" s="13"/>
      <c r="D713" s="13"/>
    </row>
    <row r="714">
      <c r="C714" s="13"/>
      <c r="D714" s="13"/>
    </row>
    <row r="715">
      <c r="C715" s="13"/>
      <c r="D715" s="13"/>
    </row>
    <row r="716">
      <c r="C716" s="13"/>
      <c r="D716" s="13"/>
    </row>
    <row r="717">
      <c r="C717" s="13"/>
      <c r="D717" s="13"/>
    </row>
    <row r="718">
      <c r="C718" s="13"/>
      <c r="D718" s="13"/>
    </row>
    <row r="719">
      <c r="C719" s="13"/>
      <c r="D719" s="13"/>
    </row>
    <row r="720">
      <c r="C720" s="13"/>
      <c r="D720" s="13"/>
    </row>
    <row r="721">
      <c r="C721" s="13"/>
      <c r="D721" s="13"/>
    </row>
    <row r="722">
      <c r="C722" s="13"/>
      <c r="D722" s="13"/>
    </row>
    <row r="723">
      <c r="C723" s="13"/>
      <c r="D723" s="13"/>
    </row>
    <row r="724">
      <c r="C724" s="13"/>
      <c r="D724" s="13"/>
    </row>
    <row r="725">
      <c r="C725" s="13"/>
      <c r="D725" s="13"/>
    </row>
    <row r="726">
      <c r="C726" s="13"/>
      <c r="D726" s="13"/>
    </row>
    <row r="727">
      <c r="C727" s="13"/>
      <c r="D727" s="13"/>
    </row>
    <row r="728">
      <c r="C728" s="13"/>
      <c r="D728" s="13"/>
    </row>
    <row r="729">
      <c r="C729" s="13"/>
      <c r="D729" s="13"/>
    </row>
    <row r="730">
      <c r="C730" s="13"/>
      <c r="D730" s="13"/>
    </row>
    <row r="731">
      <c r="C731" s="13"/>
      <c r="D731" s="13"/>
    </row>
    <row r="732">
      <c r="C732" s="13"/>
      <c r="D732" s="13"/>
    </row>
    <row r="733">
      <c r="C733" s="13"/>
      <c r="D733" s="13"/>
    </row>
    <row r="734">
      <c r="C734" s="13"/>
      <c r="D734" s="13"/>
    </row>
    <row r="735">
      <c r="C735" s="13"/>
      <c r="D735" s="13"/>
    </row>
    <row r="736">
      <c r="C736" s="13"/>
      <c r="D736" s="13"/>
    </row>
    <row r="737">
      <c r="C737" s="13"/>
      <c r="D737" s="13"/>
    </row>
    <row r="738">
      <c r="C738" s="13"/>
      <c r="D738" s="13"/>
    </row>
    <row r="739">
      <c r="C739" s="13"/>
      <c r="D739" s="13"/>
    </row>
    <row r="740">
      <c r="C740" s="13"/>
      <c r="D740" s="13"/>
    </row>
    <row r="741">
      <c r="C741" s="13"/>
      <c r="D741" s="13"/>
    </row>
    <row r="742">
      <c r="C742" s="13"/>
      <c r="D742" s="13"/>
    </row>
    <row r="743">
      <c r="C743" s="13"/>
      <c r="D743" s="13"/>
    </row>
    <row r="744">
      <c r="C744" s="13"/>
      <c r="D744" s="13"/>
    </row>
    <row r="745">
      <c r="C745" s="13"/>
      <c r="D745" s="13"/>
    </row>
    <row r="746">
      <c r="C746" s="13"/>
      <c r="D746" s="13"/>
    </row>
    <row r="747">
      <c r="C747" s="13"/>
      <c r="D747" s="13"/>
    </row>
    <row r="748">
      <c r="C748" s="13"/>
      <c r="D748" s="13"/>
    </row>
    <row r="749">
      <c r="C749" s="13"/>
      <c r="D749" s="13"/>
    </row>
    <row r="750">
      <c r="C750" s="13"/>
      <c r="D750" s="13"/>
    </row>
    <row r="751">
      <c r="C751" s="13"/>
      <c r="D751" s="13"/>
    </row>
    <row r="752">
      <c r="C752" s="13"/>
      <c r="D752" s="13"/>
    </row>
    <row r="753">
      <c r="C753" s="13"/>
      <c r="D753" s="13"/>
    </row>
    <row r="754">
      <c r="C754" s="13"/>
      <c r="D754" s="13"/>
    </row>
    <row r="755">
      <c r="C755" s="13"/>
      <c r="D755" s="13"/>
    </row>
    <row r="756">
      <c r="C756" s="13"/>
      <c r="D756" s="13"/>
    </row>
    <row r="757">
      <c r="C757" s="13"/>
      <c r="D757" s="13"/>
    </row>
    <row r="758">
      <c r="C758" s="13"/>
      <c r="D758" s="13"/>
    </row>
    <row r="759">
      <c r="C759" s="13"/>
      <c r="D759" s="13"/>
    </row>
    <row r="760">
      <c r="C760" s="13"/>
      <c r="D760" s="13"/>
    </row>
    <row r="761">
      <c r="C761" s="13"/>
      <c r="D761" s="13"/>
    </row>
    <row r="762">
      <c r="C762" s="13"/>
      <c r="D762" s="13"/>
    </row>
    <row r="763">
      <c r="C763" s="13"/>
      <c r="D763" s="13"/>
    </row>
    <row r="764">
      <c r="C764" s="13"/>
      <c r="D764" s="13"/>
    </row>
    <row r="765">
      <c r="C765" s="13"/>
      <c r="D765" s="13"/>
    </row>
    <row r="766">
      <c r="C766" s="13"/>
      <c r="D766" s="13"/>
    </row>
    <row r="767">
      <c r="C767" s="13"/>
      <c r="D767" s="13"/>
    </row>
    <row r="768">
      <c r="C768" s="13"/>
      <c r="D768" s="13"/>
    </row>
    <row r="769">
      <c r="C769" s="13"/>
      <c r="D769" s="13"/>
    </row>
    <row r="770">
      <c r="C770" s="13"/>
      <c r="D770" s="13"/>
    </row>
    <row r="771">
      <c r="C771" s="13"/>
      <c r="D771" s="13"/>
    </row>
    <row r="772">
      <c r="C772" s="13"/>
      <c r="D772" s="13"/>
    </row>
    <row r="773">
      <c r="C773" s="13"/>
      <c r="D773" s="13"/>
    </row>
    <row r="774">
      <c r="C774" s="13"/>
      <c r="D774" s="13"/>
    </row>
    <row r="775">
      <c r="C775" s="13"/>
      <c r="D775" s="13"/>
    </row>
    <row r="776">
      <c r="C776" s="13"/>
      <c r="D776" s="13"/>
    </row>
    <row r="777">
      <c r="C777" s="13"/>
      <c r="D777" s="13"/>
    </row>
    <row r="778">
      <c r="C778" s="13"/>
      <c r="D778" s="13"/>
    </row>
    <row r="779">
      <c r="C779" s="13"/>
      <c r="D779" s="13"/>
    </row>
    <row r="780">
      <c r="C780" s="13"/>
      <c r="D780" s="13"/>
    </row>
    <row r="781">
      <c r="C781" s="13"/>
      <c r="D781" s="13"/>
    </row>
    <row r="782">
      <c r="C782" s="13"/>
      <c r="D782" s="13"/>
    </row>
    <row r="783">
      <c r="C783" s="13"/>
      <c r="D783" s="13"/>
    </row>
    <row r="784">
      <c r="C784" s="13"/>
      <c r="D784" s="13"/>
    </row>
    <row r="785">
      <c r="C785" s="13"/>
      <c r="D785" s="13"/>
    </row>
    <row r="786">
      <c r="C786" s="13"/>
      <c r="D786" s="13"/>
    </row>
    <row r="787">
      <c r="C787" s="13"/>
      <c r="D787" s="13"/>
    </row>
    <row r="788">
      <c r="C788" s="13"/>
      <c r="D788" s="13"/>
    </row>
    <row r="789">
      <c r="C789" s="13"/>
      <c r="D789" s="13"/>
    </row>
    <row r="790">
      <c r="C790" s="13"/>
      <c r="D790" s="13"/>
    </row>
    <row r="791">
      <c r="C791" s="13"/>
      <c r="D791" s="13"/>
    </row>
    <row r="792">
      <c r="C792" s="13"/>
      <c r="D792" s="13"/>
    </row>
    <row r="793">
      <c r="C793" s="13"/>
      <c r="D793" s="13"/>
    </row>
    <row r="794">
      <c r="C794" s="13"/>
      <c r="D794" s="13"/>
    </row>
    <row r="795">
      <c r="C795" s="13"/>
      <c r="D795" s="13"/>
    </row>
    <row r="796">
      <c r="C796" s="13"/>
      <c r="D796" s="13"/>
    </row>
    <row r="797">
      <c r="C797" s="13"/>
      <c r="D797" s="13"/>
    </row>
    <row r="798">
      <c r="C798" s="13"/>
      <c r="D798" s="13"/>
    </row>
    <row r="799">
      <c r="C799" s="13"/>
      <c r="D799" s="13"/>
    </row>
    <row r="800">
      <c r="C800" s="13"/>
      <c r="D800" s="13"/>
    </row>
    <row r="801">
      <c r="C801" s="13"/>
      <c r="D801" s="13"/>
    </row>
    <row r="802">
      <c r="C802" s="13"/>
      <c r="D802" s="13"/>
    </row>
    <row r="803">
      <c r="C803" s="13"/>
      <c r="D803" s="13"/>
    </row>
    <row r="804">
      <c r="C804" s="13"/>
      <c r="D804" s="13"/>
    </row>
    <row r="805">
      <c r="C805" s="13"/>
      <c r="D805" s="13"/>
    </row>
    <row r="806">
      <c r="C806" s="13"/>
      <c r="D806" s="13"/>
    </row>
    <row r="807">
      <c r="C807" s="13"/>
      <c r="D807" s="13"/>
    </row>
    <row r="808">
      <c r="C808" s="13"/>
      <c r="D808" s="13"/>
    </row>
    <row r="809">
      <c r="C809" s="13"/>
      <c r="D809" s="13"/>
    </row>
    <row r="810">
      <c r="C810" s="13"/>
      <c r="D810" s="13"/>
    </row>
    <row r="811">
      <c r="C811" s="13"/>
      <c r="D811" s="13"/>
    </row>
    <row r="812">
      <c r="C812" s="13"/>
      <c r="D812" s="13"/>
    </row>
    <row r="813">
      <c r="C813" s="13"/>
      <c r="D813" s="13"/>
    </row>
    <row r="814">
      <c r="C814" s="13"/>
      <c r="D814" s="13"/>
    </row>
    <row r="815">
      <c r="C815" s="13"/>
      <c r="D815" s="13"/>
    </row>
    <row r="816">
      <c r="C816" s="13"/>
      <c r="D816" s="13"/>
    </row>
    <row r="817">
      <c r="C817" s="13"/>
      <c r="D817" s="13"/>
    </row>
    <row r="818">
      <c r="C818" s="13"/>
      <c r="D818" s="13"/>
    </row>
    <row r="819">
      <c r="C819" s="13"/>
      <c r="D819" s="13"/>
    </row>
    <row r="820">
      <c r="C820" s="13"/>
      <c r="D820" s="13"/>
    </row>
    <row r="821">
      <c r="C821" s="13"/>
      <c r="D821" s="13"/>
    </row>
    <row r="822">
      <c r="C822" s="13"/>
      <c r="D822" s="13"/>
    </row>
    <row r="823">
      <c r="C823" s="13"/>
      <c r="D823" s="13"/>
    </row>
    <row r="824">
      <c r="C824" s="13"/>
      <c r="D824" s="13"/>
    </row>
    <row r="825">
      <c r="C825" s="13"/>
      <c r="D825" s="13"/>
    </row>
    <row r="826">
      <c r="C826" s="13"/>
      <c r="D826" s="13"/>
    </row>
    <row r="827">
      <c r="C827" s="13"/>
      <c r="D827" s="13"/>
    </row>
    <row r="828">
      <c r="C828" s="13"/>
      <c r="D828" s="13"/>
    </row>
    <row r="829">
      <c r="C829" s="13"/>
      <c r="D829" s="13"/>
    </row>
    <row r="830">
      <c r="C830" s="13"/>
      <c r="D830" s="13"/>
    </row>
    <row r="831">
      <c r="C831" s="13"/>
      <c r="D831" s="13"/>
    </row>
    <row r="832">
      <c r="C832" s="13"/>
      <c r="D832" s="13"/>
    </row>
    <row r="833">
      <c r="C833" s="13"/>
      <c r="D833" s="13"/>
    </row>
    <row r="834">
      <c r="C834" s="13"/>
      <c r="D834" s="13"/>
    </row>
    <row r="835">
      <c r="C835" s="13"/>
      <c r="D835" s="13"/>
    </row>
    <row r="836">
      <c r="C836" s="13"/>
      <c r="D836" s="13"/>
    </row>
    <row r="837">
      <c r="C837" s="13"/>
      <c r="D837" s="13"/>
    </row>
    <row r="838">
      <c r="C838" s="13"/>
      <c r="D838" s="13"/>
    </row>
    <row r="839">
      <c r="C839" s="13"/>
      <c r="D839" s="13"/>
    </row>
    <row r="840">
      <c r="C840" s="13"/>
      <c r="D840" s="13"/>
    </row>
    <row r="841">
      <c r="C841" s="13"/>
      <c r="D841" s="13"/>
    </row>
    <row r="842">
      <c r="C842" s="13"/>
      <c r="D842" s="13"/>
    </row>
    <row r="843">
      <c r="C843" s="13"/>
      <c r="D843" s="13"/>
    </row>
    <row r="844">
      <c r="C844" s="13"/>
      <c r="D844" s="13"/>
    </row>
    <row r="845">
      <c r="C845" s="13"/>
      <c r="D845" s="13"/>
    </row>
    <row r="846">
      <c r="C846" s="13"/>
      <c r="D846" s="13"/>
    </row>
    <row r="847">
      <c r="C847" s="13"/>
      <c r="D847" s="13"/>
    </row>
    <row r="848">
      <c r="C848" s="13"/>
      <c r="D848" s="13"/>
    </row>
    <row r="849">
      <c r="C849" s="13"/>
      <c r="D849" s="13"/>
    </row>
    <row r="850">
      <c r="C850" s="13"/>
      <c r="D850" s="13"/>
    </row>
    <row r="851">
      <c r="C851" s="13"/>
      <c r="D851" s="13"/>
    </row>
    <row r="852">
      <c r="C852" s="13"/>
      <c r="D852" s="13"/>
    </row>
    <row r="853">
      <c r="C853" s="13"/>
      <c r="D853" s="13"/>
    </row>
    <row r="854">
      <c r="C854" s="13"/>
      <c r="D854" s="13"/>
    </row>
    <row r="855">
      <c r="C855" s="13"/>
      <c r="D855" s="13"/>
    </row>
    <row r="856">
      <c r="C856" s="13"/>
      <c r="D856" s="13"/>
    </row>
    <row r="857">
      <c r="C857" s="13"/>
      <c r="D857" s="13"/>
    </row>
    <row r="858">
      <c r="C858" s="13"/>
      <c r="D858" s="13"/>
    </row>
    <row r="859">
      <c r="C859" s="13"/>
      <c r="D859" s="13"/>
    </row>
    <row r="860">
      <c r="C860" s="13"/>
      <c r="D860" s="13"/>
    </row>
    <row r="861">
      <c r="C861" s="13"/>
      <c r="D861" s="13"/>
    </row>
    <row r="862">
      <c r="C862" s="13"/>
      <c r="D862" s="13"/>
    </row>
    <row r="863">
      <c r="C863" s="13"/>
      <c r="D863" s="13"/>
    </row>
    <row r="864">
      <c r="C864" s="13"/>
      <c r="D864" s="13"/>
    </row>
    <row r="865">
      <c r="C865" s="13"/>
      <c r="D865" s="13"/>
    </row>
    <row r="866">
      <c r="C866" s="13"/>
      <c r="D866" s="13"/>
    </row>
    <row r="867">
      <c r="C867" s="13"/>
      <c r="D867" s="13"/>
    </row>
    <row r="868">
      <c r="C868" s="13"/>
      <c r="D868" s="13"/>
    </row>
    <row r="869">
      <c r="C869" s="13"/>
      <c r="D869" s="13"/>
    </row>
    <row r="870">
      <c r="C870" s="13"/>
      <c r="D870" s="13"/>
    </row>
    <row r="871">
      <c r="C871" s="13"/>
      <c r="D871" s="13"/>
    </row>
    <row r="872">
      <c r="C872" s="13"/>
      <c r="D872" s="13"/>
    </row>
    <row r="873">
      <c r="C873" s="13"/>
      <c r="D873" s="13"/>
    </row>
    <row r="874">
      <c r="C874" s="13"/>
      <c r="D874" s="13"/>
    </row>
    <row r="875">
      <c r="C875" s="13"/>
      <c r="D875" s="13"/>
    </row>
    <row r="876">
      <c r="C876" s="13"/>
      <c r="D876" s="13"/>
    </row>
    <row r="877">
      <c r="C877" s="13"/>
      <c r="D877" s="13"/>
    </row>
    <row r="878">
      <c r="C878" s="13"/>
      <c r="D878" s="13"/>
    </row>
    <row r="879">
      <c r="C879" s="13"/>
      <c r="D879" s="13"/>
    </row>
    <row r="880">
      <c r="C880" s="13"/>
      <c r="D880" s="13"/>
    </row>
    <row r="881">
      <c r="C881" s="13"/>
      <c r="D881" s="13"/>
    </row>
    <row r="882">
      <c r="C882" s="13"/>
      <c r="D882" s="13"/>
    </row>
    <row r="883">
      <c r="C883" s="13"/>
      <c r="D883" s="13"/>
    </row>
    <row r="884">
      <c r="C884" s="13"/>
      <c r="D884" s="13"/>
    </row>
    <row r="885">
      <c r="C885" s="13"/>
      <c r="D885" s="13"/>
    </row>
    <row r="886">
      <c r="C886" s="13"/>
      <c r="D886" s="13"/>
    </row>
    <row r="887">
      <c r="C887" s="13"/>
      <c r="D887" s="13"/>
    </row>
    <row r="888">
      <c r="C888" s="13"/>
      <c r="D888" s="13"/>
    </row>
    <row r="889">
      <c r="C889" s="13"/>
      <c r="D889" s="13"/>
    </row>
    <row r="890">
      <c r="C890" s="13"/>
      <c r="D890" s="13"/>
    </row>
    <row r="891">
      <c r="C891" s="13"/>
      <c r="D891" s="13"/>
    </row>
    <row r="892">
      <c r="C892" s="13"/>
      <c r="D892" s="13"/>
    </row>
    <row r="893">
      <c r="C893" s="13"/>
      <c r="D893" s="13"/>
    </row>
    <row r="894">
      <c r="C894" s="13"/>
      <c r="D894" s="13"/>
    </row>
    <row r="895">
      <c r="C895" s="13"/>
      <c r="D895" s="13"/>
    </row>
    <row r="896">
      <c r="C896" s="13"/>
      <c r="D896" s="13"/>
    </row>
    <row r="897">
      <c r="C897" s="13"/>
      <c r="D897" s="13"/>
    </row>
    <row r="898">
      <c r="C898" s="13"/>
      <c r="D898" s="13"/>
    </row>
    <row r="899">
      <c r="C899" s="13"/>
      <c r="D899" s="13"/>
    </row>
    <row r="900">
      <c r="C900" s="13"/>
      <c r="D900" s="13"/>
    </row>
    <row r="901">
      <c r="C901" s="13"/>
      <c r="D901" s="13"/>
    </row>
    <row r="902">
      <c r="C902" s="13"/>
      <c r="D902" s="13"/>
    </row>
    <row r="903">
      <c r="C903" s="13"/>
      <c r="D903" s="13"/>
    </row>
    <row r="904">
      <c r="C904" s="13"/>
      <c r="D904" s="13"/>
    </row>
    <row r="905">
      <c r="C905" s="13"/>
      <c r="D905" s="13"/>
    </row>
    <row r="906">
      <c r="C906" s="13"/>
      <c r="D906" s="13"/>
    </row>
    <row r="907">
      <c r="C907" s="13"/>
      <c r="D907" s="13"/>
    </row>
    <row r="908">
      <c r="C908" s="13"/>
      <c r="D908" s="13"/>
    </row>
    <row r="909">
      <c r="C909" s="13"/>
      <c r="D909" s="13"/>
    </row>
    <row r="910">
      <c r="C910" s="13"/>
      <c r="D910" s="13"/>
    </row>
    <row r="911">
      <c r="C911" s="13"/>
      <c r="D911" s="13"/>
    </row>
    <row r="912">
      <c r="C912" s="13"/>
      <c r="D912" s="13"/>
    </row>
    <row r="913">
      <c r="C913" s="13"/>
      <c r="D913" s="13"/>
    </row>
    <row r="914">
      <c r="C914" s="13"/>
      <c r="D914" s="13"/>
    </row>
    <row r="915">
      <c r="C915" s="13"/>
      <c r="D915" s="13"/>
    </row>
    <row r="916">
      <c r="C916" s="13"/>
      <c r="D916" s="13"/>
    </row>
    <row r="917">
      <c r="C917" s="13"/>
      <c r="D917" s="13"/>
    </row>
    <row r="918">
      <c r="C918" s="13"/>
      <c r="D918" s="13"/>
    </row>
    <row r="919">
      <c r="C919" s="13"/>
      <c r="D919" s="13"/>
    </row>
    <row r="920">
      <c r="C920" s="13"/>
      <c r="D920" s="13"/>
    </row>
    <row r="921">
      <c r="C921" s="13"/>
      <c r="D921" s="13"/>
    </row>
    <row r="922">
      <c r="C922" s="13"/>
      <c r="D922" s="13"/>
    </row>
    <row r="923">
      <c r="C923" s="13"/>
      <c r="D923" s="13"/>
    </row>
    <row r="924">
      <c r="C924" s="13"/>
      <c r="D924" s="13"/>
    </row>
    <row r="925">
      <c r="C925" s="13"/>
      <c r="D925" s="13"/>
    </row>
    <row r="926">
      <c r="C926" s="13"/>
      <c r="D926" s="13"/>
    </row>
    <row r="927">
      <c r="C927" s="13"/>
      <c r="D927" s="13"/>
    </row>
    <row r="928">
      <c r="C928" s="13"/>
      <c r="D928" s="13"/>
    </row>
    <row r="929">
      <c r="C929" s="13"/>
      <c r="D929" s="13"/>
    </row>
    <row r="930">
      <c r="C930" s="13"/>
      <c r="D930" s="13"/>
    </row>
    <row r="931">
      <c r="C931" s="13"/>
      <c r="D931" s="13"/>
    </row>
    <row r="932">
      <c r="C932" s="13"/>
      <c r="D932" s="13"/>
    </row>
    <row r="933">
      <c r="C933" s="13"/>
      <c r="D933" s="13"/>
    </row>
    <row r="934">
      <c r="C934" s="13"/>
      <c r="D934" s="13"/>
    </row>
    <row r="935">
      <c r="C935" s="13"/>
      <c r="D935" s="13"/>
    </row>
    <row r="936">
      <c r="C936" s="13"/>
      <c r="D936" s="13"/>
    </row>
    <row r="937">
      <c r="C937" s="13"/>
      <c r="D937" s="13"/>
    </row>
    <row r="938">
      <c r="C938" s="13"/>
      <c r="D938" s="13"/>
    </row>
    <row r="939">
      <c r="C939" s="13"/>
      <c r="D939" s="13"/>
    </row>
    <row r="940">
      <c r="C940" s="13"/>
      <c r="D940" s="13"/>
    </row>
    <row r="941">
      <c r="C941" s="13"/>
      <c r="D941" s="13"/>
    </row>
    <row r="942">
      <c r="C942" s="13"/>
      <c r="D942" s="13"/>
    </row>
    <row r="943">
      <c r="C943" s="13"/>
      <c r="D943" s="13"/>
    </row>
    <row r="944">
      <c r="C944" s="13"/>
      <c r="D944" s="13"/>
    </row>
    <row r="945">
      <c r="C945" s="13"/>
      <c r="D945" s="13"/>
    </row>
    <row r="946">
      <c r="C946" s="13"/>
      <c r="D946" s="13"/>
    </row>
    <row r="947">
      <c r="C947" s="13"/>
      <c r="D947" s="13"/>
    </row>
    <row r="948">
      <c r="C948" s="13"/>
      <c r="D948" s="13"/>
    </row>
    <row r="949">
      <c r="C949" s="13"/>
      <c r="D949" s="13"/>
    </row>
    <row r="950">
      <c r="C950" s="13"/>
      <c r="D950" s="13"/>
    </row>
    <row r="951">
      <c r="C951" s="13"/>
      <c r="D951" s="13"/>
    </row>
    <row r="952">
      <c r="C952" s="13"/>
      <c r="D952" s="13"/>
    </row>
    <row r="953">
      <c r="C953" s="13"/>
      <c r="D953" s="13"/>
    </row>
    <row r="954">
      <c r="C954" s="13"/>
      <c r="D954" s="13"/>
    </row>
    <row r="955">
      <c r="C955" s="13"/>
      <c r="D955" s="13"/>
    </row>
    <row r="956">
      <c r="C956" s="13"/>
      <c r="D956" s="13"/>
    </row>
    <row r="957">
      <c r="C957" s="13"/>
      <c r="D957" s="13"/>
    </row>
    <row r="958">
      <c r="C958" s="13"/>
      <c r="D958" s="13"/>
    </row>
    <row r="959">
      <c r="C959" s="13"/>
      <c r="D959" s="13"/>
    </row>
    <row r="960">
      <c r="C960" s="13"/>
      <c r="D960" s="13"/>
    </row>
    <row r="961">
      <c r="C961" s="13"/>
      <c r="D961" s="13"/>
    </row>
    <row r="962">
      <c r="C962" s="13"/>
      <c r="D962" s="13"/>
    </row>
    <row r="963">
      <c r="C963" s="13"/>
      <c r="D963" s="13"/>
    </row>
    <row r="964">
      <c r="C964" s="13"/>
      <c r="D964" s="13"/>
    </row>
    <row r="965">
      <c r="C965" s="13"/>
      <c r="D965" s="13"/>
    </row>
    <row r="966">
      <c r="C966" s="13"/>
      <c r="D966" s="13"/>
    </row>
    <row r="967">
      <c r="C967" s="13"/>
      <c r="D967" s="13"/>
    </row>
    <row r="968">
      <c r="C968" s="13"/>
      <c r="D968" s="13"/>
    </row>
    <row r="969">
      <c r="C969" s="13"/>
      <c r="D969" s="13"/>
    </row>
    <row r="970">
      <c r="C970" s="13"/>
      <c r="D970" s="13"/>
    </row>
    <row r="971">
      <c r="C971" s="13"/>
      <c r="D971" s="13"/>
    </row>
    <row r="972">
      <c r="C972" s="13"/>
      <c r="D972" s="13"/>
    </row>
    <row r="973">
      <c r="C973" s="13"/>
      <c r="D973" s="13"/>
    </row>
    <row r="974">
      <c r="C974" s="13"/>
      <c r="D974" s="13"/>
    </row>
    <row r="975">
      <c r="C975" s="13"/>
      <c r="D975" s="13"/>
    </row>
    <row r="976">
      <c r="C976" s="13"/>
      <c r="D976" s="13"/>
    </row>
    <row r="977">
      <c r="C977" s="13"/>
      <c r="D977" s="13"/>
    </row>
    <row r="978">
      <c r="C978" s="13"/>
      <c r="D978" s="13"/>
    </row>
    <row r="979">
      <c r="C979" s="13"/>
      <c r="D979" s="13"/>
    </row>
    <row r="980">
      <c r="C980" s="13"/>
      <c r="D980" s="13"/>
    </row>
    <row r="981">
      <c r="C981" s="13"/>
      <c r="D981" s="13"/>
    </row>
    <row r="982">
      <c r="C982" s="13"/>
      <c r="D982" s="13"/>
    </row>
    <row r="983">
      <c r="C983" s="13"/>
      <c r="D983" s="13"/>
    </row>
    <row r="984">
      <c r="C984" s="13"/>
      <c r="D984" s="13"/>
    </row>
    <row r="985">
      <c r="C985" s="13"/>
      <c r="D985" s="13"/>
    </row>
    <row r="986">
      <c r="C986" s="13"/>
      <c r="D986" s="13"/>
    </row>
    <row r="987">
      <c r="C987" s="13"/>
      <c r="D987" s="13"/>
    </row>
    <row r="988">
      <c r="C988" s="13"/>
      <c r="D988" s="13"/>
    </row>
    <row r="989">
      <c r="C989" s="13"/>
      <c r="D989" s="13"/>
    </row>
    <row r="990">
      <c r="C990" s="13"/>
      <c r="D990" s="13"/>
    </row>
    <row r="991">
      <c r="C991" s="13"/>
      <c r="D991" s="13"/>
    </row>
    <row r="992">
      <c r="C992" s="13"/>
      <c r="D992" s="13"/>
    </row>
    <row r="993">
      <c r="C993" s="13"/>
      <c r="D993" s="13"/>
    </row>
    <row r="994">
      <c r="C994" s="13"/>
      <c r="D994" s="13"/>
    </row>
    <row r="995">
      <c r="C995" s="13"/>
      <c r="D995" s="13"/>
    </row>
    <row r="996">
      <c r="C996" s="13"/>
      <c r="D996" s="13"/>
    </row>
    <row r="997">
      <c r="C997" s="13"/>
      <c r="D997" s="13"/>
    </row>
    <row r="998">
      <c r="C998" s="13"/>
      <c r="D998" s="13"/>
    </row>
    <row r="999">
      <c r="C999" s="13"/>
      <c r="D999" s="13"/>
    </row>
    <row r="1000">
      <c r="C1000" s="13"/>
      <c r="D1000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88"/>
    <col customWidth="1" min="3" max="3" width="8.38"/>
    <col customWidth="1" min="4" max="4" width="12.75"/>
    <col customWidth="1" min="5" max="26" width="14.38"/>
  </cols>
  <sheetData>
    <row r="1">
      <c r="A1" s="14" t="s">
        <v>34</v>
      </c>
      <c r="B1" s="14" t="s">
        <v>35</v>
      </c>
      <c r="C1" s="11" t="s">
        <v>36</v>
      </c>
      <c r="D1" s="11" t="s">
        <v>37</v>
      </c>
    </row>
    <row r="2">
      <c r="A2" s="15">
        <v>43647.0</v>
      </c>
      <c r="B2" s="9">
        <v>50.0</v>
      </c>
      <c r="C2" s="16" t="b">
        <f t="shared" ref="C2:C47" si="1">ISNUMBER(B2)</f>
        <v>1</v>
      </c>
      <c r="D2" s="16">
        <f t="shared" ref="D2:D47" si="2">IF(C2=true,B2,MEDIAN(B1,B3))</f>
        <v>50</v>
      </c>
    </row>
    <row r="3">
      <c r="A3" s="15">
        <v>43648.0</v>
      </c>
      <c r="B3" s="9">
        <v>51.0</v>
      </c>
      <c r="C3" s="16" t="b">
        <f t="shared" si="1"/>
        <v>1</v>
      </c>
      <c r="D3" s="16">
        <f t="shared" si="2"/>
        <v>51</v>
      </c>
    </row>
    <row r="4">
      <c r="A4" s="15">
        <v>43649.0</v>
      </c>
      <c r="B4" s="9">
        <v>53.0</v>
      </c>
      <c r="C4" s="16" t="b">
        <f t="shared" si="1"/>
        <v>1</v>
      </c>
      <c r="D4" s="16">
        <f t="shared" si="2"/>
        <v>53</v>
      </c>
    </row>
    <row r="5">
      <c r="A5" s="15">
        <v>43650.0</v>
      </c>
      <c r="B5" s="9">
        <v>203.0</v>
      </c>
      <c r="C5" s="16" t="b">
        <f t="shared" si="1"/>
        <v>1</v>
      </c>
      <c r="D5" s="16">
        <f t="shared" si="2"/>
        <v>203</v>
      </c>
    </row>
    <row r="6">
      <c r="A6" s="15">
        <v>43651.0</v>
      </c>
      <c r="B6" s="17"/>
      <c r="C6" s="16" t="b">
        <f t="shared" si="1"/>
        <v>0</v>
      </c>
      <c r="D6" s="16">
        <f t="shared" si="2"/>
        <v>127.5</v>
      </c>
    </row>
    <row r="7">
      <c r="A7" s="15">
        <v>43652.0</v>
      </c>
      <c r="B7" s="9">
        <v>52.0</v>
      </c>
      <c r="C7" s="16" t="b">
        <f t="shared" si="1"/>
        <v>1</v>
      </c>
      <c r="D7" s="16">
        <f t="shared" si="2"/>
        <v>52</v>
      </c>
    </row>
    <row r="8">
      <c r="A8" s="15">
        <v>43653.0</v>
      </c>
      <c r="B8" s="9">
        <v>53.0</v>
      </c>
      <c r="C8" s="16" t="b">
        <f t="shared" si="1"/>
        <v>1</v>
      </c>
      <c r="D8" s="16">
        <f t="shared" si="2"/>
        <v>53</v>
      </c>
    </row>
    <row r="9">
      <c r="A9" s="15">
        <v>43654.0</v>
      </c>
      <c r="B9" s="9">
        <v>54.0</v>
      </c>
      <c r="C9" s="16" t="b">
        <f t="shared" si="1"/>
        <v>1</v>
      </c>
      <c r="D9" s="16">
        <f t="shared" si="2"/>
        <v>54</v>
      </c>
    </row>
    <row r="10">
      <c r="A10" s="15">
        <v>43655.0</v>
      </c>
      <c r="B10" s="9">
        <v>55.0</v>
      </c>
      <c r="C10" s="16" t="b">
        <f t="shared" si="1"/>
        <v>1</v>
      </c>
      <c r="D10" s="16">
        <f t="shared" si="2"/>
        <v>55</v>
      </c>
    </row>
    <row r="11">
      <c r="A11" s="15">
        <v>43656.0</v>
      </c>
      <c r="B11" s="17" t="e">
        <v>#N/A</v>
      </c>
      <c r="C11" s="16" t="b">
        <f t="shared" si="1"/>
        <v>0</v>
      </c>
      <c r="D11" s="16">
        <f t="shared" si="2"/>
        <v>130</v>
      </c>
    </row>
    <row r="12">
      <c r="A12" s="15">
        <v>43657.0</v>
      </c>
      <c r="B12" s="9">
        <v>205.0</v>
      </c>
      <c r="C12" s="16" t="b">
        <f t="shared" si="1"/>
        <v>1</v>
      </c>
      <c r="D12" s="16">
        <f t="shared" si="2"/>
        <v>205</v>
      </c>
    </row>
    <row r="13">
      <c r="A13" s="15">
        <v>43658.0</v>
      </c>
      <c r="B13" s="9">
        <v>204.0</v>
      </c>
      <c r="C13" s="16" t="b">
        <f t="shared" si="1"/>
        <v>1</v>
      </c>
      <c r="D13" s="16">
        <f t="shared" si="2"/>
        <v>204</v>
      </c>
    </row>
    <row r="14">
      <c r="A14" s="15">
        <v>43659.0</v>
      </c>
      <c r="B14" s="9">
        <v>51.0</v>
      </c>
      <c r="C14" s="16" t="b">
        <f t="shared" si="1"/>
        <v>1</v>
      </c>
      <c r="D14" s="16">
        <f t="shared" si="2"/>
        <v>51</v>
      </c>
    </row>
    <row r="15">
      <c r="A15" s="15">
        <v>43660.0</v>
      </c>
      <c r="B15" s="9">
        <v>50.0</v>
      </c>
      <c r="C15" s="16" t="b">
        <f t="shared" si="1"/>
        <v>1</v>
      </c>
      <c r="D15" s="16">
        <f t="shared" si="2"/>
        <v>50</v>
      </c>
    </row>
    <row r="16">
      <c r="A16" s="15">
        <v>43661.0</v>
      </c>
      <c r="B16" s="17" t="e">
        <v>#N/A</v>
      </c>
      <c r="C16" s="16" t="b">
        <f t="shared" si="1"/>
        <v>0</v>
      </c>
      <c r="D16" s="16">
        <f t="shared" si="2"/>
        <v>52.5</v>
      </c>
    </row>
    <row r="17">
      <c r="A17" s="15">
        <v>43662.0</v>
      </c>
      <c r="B17" s="9">
        <v>55.0</v>
      </c>
      <c r="C17" s="16" t="b">
        <f t="shared" si="1"/>
        <v>1</v>
      </c>
      <c r="D17" s="16">
        <f t="shared" si="2"/>
        <v>55</v>
      </c>
    </row>
    <row r="18">
      <c r="A18" s="15">
        <v>43663.0</v>
      </c>
      <c r="B18" s="9">
        <v>54.0</v>
      </c>
      <c r="C18" s="16" t="b">
        <f t="shared" si="1"/>
        <v>1</v>
      </c>
      <c r="D18" s="16">
        <f t="shared" si="2"/>
        <v>54</v>
      </c>
    </row>
    <row r="19">
      <c r="A19" s="15">
        <v>43664.0</v>
      </c>
      <c r="B19" s="9">
        <v>207.0</v>
      </c>
      <c r="C19" s="16" t="b">
        <f t="shared" si="1"/>
        <v>1</v>
      </c>
      <c r="D19" s="16">
        <f t="shared" si="2"/>
        <v>207</v>
      </c>
    </row>
    <row r="20">
      <c r="A20" s="15">
        <v>43665.0</v>
      </c>
      <c r="B20" s="9">
        <v>201.0</v>
      </c>
      <c r="C20" s="16" t="b">
        <f t="shared" si="1"/>
        <v>1</v>
      </c>
      <c r="D20" s="16">
        <f t="shared" si="2"/>
        <v>201</v>
      </c>
    </row>
    <row r="21">
      <c r="A21" s="15">
        <v>43666.0</v>
      </c>
      <c r="B21" s="9">
        <v>53.0</v>
      </c>
      <c r="C21" s="16" t="b">
        <f t="shared" si="1"/>
        <v>1</v>
      </c>
      <c r="D21" s="16">
        <f t="shared" si="2"/>
        <v>53</v>
      </c>
    </row>
    <row r="22">
      <c r="A22" s="15">
        <v>43667.0</v>
      </c>
      <c r="B22" s="9">
        <v>54.0</v>
      </c>
      <c r="C22" s="16" t="b">
        <f t="shared" si="1"/>
        <v>1</v>
      </c>
      <c r="D22" s="16">
        <f t="shared" si="2"/>
        <v>54</v>
      </c>
    </row>
    <row r="23">
      <c r="A23" s="15">
        <v>43668.0</v>
      </c>
      <c r="B23" s="9">
        <v>52.0</v>
      </c>
      <c r="C23" s="16" t="b">
        <f t="shared" si="1"/>
        <v>1</v>
      </c>
      <c r="D23" s="16">
        <f t="shared" si="2"/>
        <v>52</v>
      </c>
    </row>
    <row r="24">
      <c r="A24" s="15">
        <v>43669.0</v>
      </c>
      <c r="B24" s="9">
        <v>51.0</v>
      </c>
      <c r="C24" s="16" t="b">
        <f t="shared" si="1"/>
        <v>1</v>
      </c>
      <c r="D24" s="16">
        <f t="shared" si="2"/>
        <v>51</v>
      </c>
    </row>
    <row r="25">
      <c r="A25" s="15">
        <v>43670.0</v>
      </c>
      <c r="B25" s="9">
        <v>50.0</v>
      </c>
      <c r="C25" s="16" t="b">
        <f t="shared" si="1"/>
        <v>1</v>
      </c>
      <c r="D25" s="16">
        <f t="shared" si="2"/>
        <v>50</v>
      </c>
    </row>
    <row r="26">
      <c r="A26" s="15">
        <v>43671.0</v>
      </c>
      <c r="B26" s="9">
        <v>208.0</v>
      </c>
      <c r="C26" s="16" t="b">
        <f t="shared" si="1"/>
        <v>1</v>
      </c>
      <c r="D26" s="16">
        <f t="shared" si="2"/>
        <v>208</v>
      </c>
    </row>
    <row r="27">
      <c r="A27" s="15">
        <v>43672.0</v>
      </c>
      <c r="B27" s="9">
        <v>203.0</v>
      </c>
      <c r="C27" s="16" t="b">
        <f t="shared" si="1"/>
        <v>1</v>
      </c>
      <c r="D27" s="16">
        <f t="shared" si="2"/>
        <v>203</v>
      </c>
    </row>
    <row r="28">
      <c r="A28" s="15">
        <v>43673.0</v>
      </c>
      <c r="B28" s="9">
        <v>50.0</v>
      </c>
      <c r="C28" s="16" t="b">
        <f t="shared" si="1"/>
        <v>1</v>
      </c>
      <c r="D28" s="16">
        <f t="shared" si="2"/>
        <v>50</v>
      </c>
    </row>
    <row r="29">
      <c r="A29" s="15">
        <v>43674.0</v>
      </c>
      <c r="B29" s="9">
        <v>51.0</v>
      </c>
      <c r="C29" s="16" t="b">
        <f t="shared" si="1"/>
        <v>1</v>
      </c>
      <c r="D29" s="16">
        <f t="shared" si="2"/>
        <v>51</v>
      </c>
    </row>
    <row r="30">
      <c r="A30" s="15">
        <v>43675.0</v>
      </c>
      <c r="B30" s="9">
        <v>53.0</v>
      </c>
      <c r="C30" s="16" t="b">
        <f t="shared" si="1"/>
        <v>1</v>
      </c>
      <c r="D30" s="16">
        <f t="shared" si="2"/>
        <v>53</v>
      </c>
    </row>
    <row r="31">
      <c r="A31" s="15">
        <v>43676.0</v>
      </c>
      <c r="B31" s="9">
        <v>54.0</v>
      </c>
      <c r="C31" s="16" t="b">
        <f t="shared" si="1"/>
        <v>1</v>
      </c>
      <c r="D31" s="16">
        <f t="shared" si="2"/>
        <v>54</v>
      </c>
    </row>
    <row r="32">
      <c r="A32" s="15">
        <v>43677.0</v>
      </c>
      <c r="B32" s="9">
        <v>51.0</v>
      </c>
      <c r="C32" s="16" t="b">
        <f t="shared" si="1"/>
        <v>1</v>
      </c>
      <c r="D32" s="16">
        <f t="shared" si="2"/>
        <v>51</v>
      </c>
    </row>
    <row r="33">
      <c r="A33" s="15">
        <v>43678.0</v>
      </c>
      <c r="B33" s="9">
        <v>208.0</v>
      </c>
      <c r="C33" s="16" t="b">
        <f t="shared" si="1"/>
        <v>1</v>
      </c>
      <c r="D33" s="16">
        <f t="shared" si="2"/>
        <v>208</v>
      </c>
    </row>
    <row r="34">
      <c r="A34" s="15">
        <v>43679.0</v>
      </c>
      <c r="B34" s="9">
        <v>209.0</v>
      </c>
      <c r="C34" s="16" t="b">
        <f t="shared" si="1"/>
        <v>1</v>
      </c>
      <c r="D34" s="16">
        <f t="shared" si="2"/>
        <v>209</v>
      </c>
    </row>
    <row r="35">
      <c r="A35" s="15">
        <v>43680.0</v>
      </c>
      <c r="B35" s="9">
        <v>51.0</v>
      </c>
      <c r="C35" s="16" t="b">
        <f t="shared" si="1"/>
        <v>1</v>
      </c>
      <c r="D35" s="16">
        <f t="shared" si="2"/>
        <v>51</v>
      </c>
    </row>
    <row r="36">
      <c r="A36" s="15">
        <v>43681.0</v>
      </c>
      <c r="B36" s="9">
        <v>52.0</v>
      </c>
      <c r="C36" s="16" t="b">
        <f t="shared" si="1"/>
        <v>1</v>
      </c>
      <c r="D36" s="16">
        <f t="shared" si="2"/>
        <v>52</v>
      </c>
    </row>
    <row r="37">
      <c r="A37" s="15">
        <v>43682.0</v>
      </c>
      <c r="B37" s="9">
        <v>53.0</v>
      </c>
      <c r="C37" s="16" t="b">
        <f t="shared" si="1"/>
        <v>1</v>
      </c>
      <c r="D37" s="16">
        <f t="shared" si="2"/>
        <v>53</v>
      </c>
    </row>
    <row r="38">
      <c r="A38" s="15">
        <v>43683.0</v>
      </c>
      <c r="B38" s="9">
        <v>54.0</v>
      </c>
      <c r="C38" s="16" t="b">
        <f t="shared" si="1"/>
        <v>1</v>
      </c>
      <c r="D38" s="16">
        <f t="shared" si="2"/>
        <v>54</v>
      </c>
    </row>
    <row r="39">
      <c r="A39" s="15">
        <v>43684.0</v>
      </c>
      <c r="B39" s="9">
        <v>55.0</v>
      </c>
      <c r="C39" s="16" t="b">
        <f t="shared" si="1"/>
        <v>1</v>
      </c>
      <c r="D39" s="16">
        <f t="shared" si="2"/>
        <v>55</v>
      </c>
    </row>
    <row r="40">
      <c r="A40" s="15">
        <v>43685.0</v>
      </c>
      <c r="B40" s="9">
        <v>209.0</v>
      </c>
      <c r="C40" s="16" t="b">
        <f t="shared" si="1"/>
        <v>1</v>
      </c>
      <c r="D40" s="16">
        <f t="shared" si="2"/>
        <v>209</v>
      </c>
    </row>
    <row r="41">
      <c r="A41" s="15">
        <v>43686.0</v>
      </c>
      <c r="B41" s="9">
        <v>205.0</v>
      </c>
      <c r="C41" s="16" t="b">
        <f t="shared" si="1"/>
        <v>1</v>
      </c>
      <c r="D41" s="16">
        <f t="shared" si="2"/>
        <v>205</v>
      </c>
    </row>
    <row r="42">
      <c r="A42" s="15">
        <v>43687.0</v>
      </c>
      <c r="B42" s="9">
        <v>50.0</v>
      </c>
      <c r="C42" s="16" t="b">
        <f t="shared" si="1"/>
        <v>1</v>
      </c>
      <c r="D42" s="16">
        <f t="shared" si="2"/>
        <v>50</v>
      </c>
    </row>
    <row r="43">
      <c r="A43" s="15">
        <v>43688.0</v>
      </c>
      <c r="B43" s="9">
        <v>58.0</v>
      </c>
      <c r="C43" s="16" t="b">
        <f t="shared" si="1"/>
        <v>1</v>
      </c>
      <c r="D43" s="16">
        <f t="shared" si="2"/>
        <v>58</v>
      </c>
    </row>
    <row r="44">
      <c r="A44" s="15">
        <v>43689.0</v>
      </c>
      <c r="B44" s="9">
        <v>51.0</v>
      </c>
      <c r="C44" s="16" t="b">
        <f t="shared" si="1"/>
        <v>1</v>
      </c>
      <c r="D44" s="16">
        <f t="shared" si="2"/>
        <v>51</v>
      </c>
    </row>
    <row r="45">
      <c r="A45" s="15">
        <v>43690.0</v>
      </c>
      <c r="B45" s="9">
        <v>52.0</v>
      </c>
      <c r="C45" s="16" t="b">
        <f t="shared" si="1"/>
        <v>1</v>
      </c>
      <c r="D45" s="16">
        <f t="shared" si="2"/>
        <v>52</v>
      </c>
    </row>
    <row r="46">
      <c r="A46" s="15">
        <v>43691.0</v>
      </c>
      <c r="B46" s="9">
        <v>53.0</v>
      </c>
      <c r="C46" s="16" t="b">
        <f t="shared" si="1"/>
        <v>1</v>
      </c>
      <c r="D46" s="16">
        <f t="shared" si="2"/>
        <v>53</v>
      </c>
    </row>
    <row r="47">
      <c r="A47" s="15">
        <v>43692.0</v>
      </c>
      <c r="B47" s="9">
        <v>51.0</v>
      </c>
      <c r="C47" s="16" t="b">
        <f t="shared" si="1"/>
        <v>1</v>
      </c>
      <c r="D47" s="16">
        <f t="shared" si="2"/>
        <v>51</v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6.75"/>
    <col customWidth="1" min="4" max="4" width="16.0"/>
    <col customWidth="1" min="5" max="6" width="9.63"/>
    <col customWidth="1" min="7" max="7" width="12.13"/>
    <col customWidth="1" min="8" max="8" width="18.88"/>
    <col customWidth="1" min="9" max="9" width="14.5"/>
    <col customWidth="1" min="10" max="28" width="14.38"/>
  </cols>
  <sheetData>
    <row r="1">
      <c r="A1" s="18" t="s">
        <v>34</v>
      </c>
      <c r="B1" s="18" t="s">
        <v>38</v>
      </c>
      <c r="C1" s="19" t="s">
        <v>39</v>
      </c>
      <c r="D1" s="19" t="s">
        <v>40</v>
      </c>
      <c r="E1" s="19" t="s">
        <v>41</v>
      </c>
      <c r="F1" s="19" t="s">
        <v>42</v>
      </c>
      <c r="G1" s="19" t="s">
        <v>43</v>
      </c>
      <c r="H1" s="19" t="s">
        <v>44</v>
      </c>
      <c r="I1" s="19" t="s">
        <v>45</v>
      </c>
    </row>
    <row r="2">
      <c r="A2" s="20">
        <v>43800.0</v>
      </c>
      <c r="B2" s="21">
        <v>1310.0</v>
      </c>
      <c r="C2" s="16">
        <f t="shared" ref="C2:C285" si="1">MEDIAN(B$2:B$285)</f>
        <v>1521</v>
      </c>
      <c r="F2" s="16">
        <f t="shared" ref="F2:F285" si="2">B2-C2</f>
        <v>-211</v>
      </c>
      <c r="G2" s="16">
        <f t="shared" ref="G2:G285" si="3">POW(F2,2)</f>
        <v>44521</v>
      </c>
      <c r="H2" s="16">
        <f>MEDIAN(G2:G285)</f>
        <v>18225</v>
      </c>
      <c r="I2" s="16">
        <f>SQRT(H2)</f>
        <v>135</v>
      </c>
    </row>
    <row r="3">
      <c r="A3" s="20">
        <v>43801.0</v>
      </c>
      <c r="B3" s="21">
        <v>1386.0</v>
      </c>
      <c r="C3" s="16">
        <f t="shared" si="1"/>
        <v>1521</v>
      </c>
      <c r="D3" s="16">
        <f t="shared" ref="D3:D284" si="4">MEDIAN(B2:B4)</f>
        <v>1310</v>
      </c>
      <c r="F3" s="16">
        <f t="shared" si="2"/>
        <v>-135</v>
      </c>
      <c r="G3" s="16">
        <f t="shared" si="3"/>
        <v>18225</v>
      </c>
    </row>
    <row r="4">
      <c r="A4" s="20">
        <v>43802.0</v>
      </c>
      <c r="B4" s="21">
        <v>1265.0</v>
      </c>
      <c r="C4" s="16">
        <f t="shared" si="1"/>
        <v>1521</v>
      </c>
      <c r="D4" s="16">
        <f t="shared" si="4"/>
        <v>1370</v>
      </c>
      <c r="F4" s="16">
        <f t="shared" si="2"/>
        <v>-256</v>
      </c>
      <c r="G4" s="16">
        <f t="shared" si="3"/>
        <v>65536</v>
      </c>
    </row>
    <row r="5">
      <c r="A5" s="20">
        <v>43803.0</v>
      </c>
      <c r="B5" s="21">
        <v>1370.0</v>
      </c>
      <c r="C5" s="16">
        <f t="shared" si="1"/>
        <v>1521</v>
      </c>
      <c r="D5" s="16">
        <f t="shared" si="4"/>
        <v>1265</v>
      </c>
      <c r="E5" s="16">
        <f t="shared" ref="E5:E282" si="5">MEDIAN(B2:B8)</f>
        <v>1310</v>
      </c>
      <c r="F5" s="16">
        <f t="shared" si="2"/>
        <v>-151</v>
      </c>
      <c r="G5" s="16">
        <f t="shared" si="3"/>
        <v>22801</v>
      </c>
    </row>
    <row r="6">
      <c r="A6" s="20">
        <v>43804.0</v>
      </c>
      <c r="B6" s="21">
        <v>1227.0</v>
      </c>
      <c r="C6" s="16">
        <f t="shared" si="1"/>
        <v>1521</v>
      </c>
      <c r="D6" s="16">
        <f t="shared" si="4"/>
        <v>1370</v>
      </c>
      <c r="E6" s="16">
        <f t="shared" si="5"/>
        <v>1298</v>
      </c>
      <c r="F6" s="16">
        <f t="shared" si="2"/>
        <v>-294</v>
      </c>
      <c r="G6" s="16">
        <f t="shared" si="3"/>
        <v>86436</v>
      </c>
    </row>
    <row r="7">
      <c r="A7" s="20">
        <v>43805.0</v>
      </c>
      <c r="B7" s="21">
        <v>1659.0</v>
      </c>
      <c r="C7" s="16">
        <f t="shared" si="1"/>
        <v>1521</v>
      </c>
      <c r="D7" s="16">
        <f t="shared" si="4"/>
        <v>1231</v>
      </c>
      <c r="E7" s="16">
        <f t="shared" si="5"/>
        <v>1265</v>
      </c>
      <c r="F7" s="16">
        <f t="shared" si="2"/>
        <v>138</v>
      </c>
      <c r="G7" s="16">
        <f t="shared" si="3"/>
        <v>19044</v>
      </c>
    </row>
    <row r="8">
      <c r="A8" s="20">
        <v>43806.0</v>
      </c>
      <c r="B8" s="21">
        <v>1231.0</v>
      </c>
      <c r="C8" s="16">
        <f t="shared" si="1"/>
        <v>1521</v>
      </c>
      <c r="D8" s="16">
        <f t="shared" si="4"/>
        <v>1298</v>
      </c>
      <c r="E8" s="16">
        <f t="shared" si="5"/>
        <v>1298</v>
      </c>
      <c r="F8" s="16">
        <f t="shared" si="2"/>
        <v>-290</v>
      </c>
      <c r="G8" s="16">
        <f t="shared" si="3"/>
        <v>84100</v>
      </c>
    </row>
    <row r="9">
      <c r="A9" s="20">
        <v>43807.0</v>
      </c>
      <c r="B9" s="21">
        <v>1298.0</v>
      </c>
      <c r="C9" s="16">
        <f t="shared" si="1"/>
        <v>1521</v>
      </c>
      <c r="D9" s="16">
        <f t="shared" si="4"/>
        <v>1231</v>
      </c>
      <c r="E9" s="16">
        <f t="shared" si="5"/>
        <v>1231</v>
      </c>
      <c r="F9" s="16">
        <f t="shared" si="2"/>
        <v>-223</v>
      </c>
      <c r="G9" s="16">
        <f t="shared" si="3"/>
        <v>49729</v>
      </c>
    </row>
    <row r="10">
      <c r="A10" s="20">
        <v>43808.0</v>
      </c>
      <c r="B10" s="21">
        <v>1211.0</v>
      </c>
      <c r="C10" s="16">
        <f t="shared" si="1"/>
        <v>1521</v>
      </c>
      <c r="D10" s="16">
        <f t="shared" si="4"/>
        <v>1298</v>
      </c>
      <c r="E10" s="16">
        <f t="shared" si="5"/>
        <v>1298</v>
      </c>
      <c r="F10" s="16">
        <f t="shared" si="2"/>
        <v>-310</v>
      </c>
      <c r="G10" s="16">
        <f t="shared" si="3"/>
        <v>96100</v>
      </c>
    </row>
    <row r="11">
      <c r="A11" s="20">
        <v>43809.0</v>
      </c>
      <c r="B11" s="21">
        <v>1712.0</v>
      </c>
      <c r="C11" s="16">
        <f t="shared" si="1"/>
        <v>1521</v>
      </c>
      <c r="D11" s="16">
        <f t="shared" si="4"/>
        <v>1211</v>
      </c>
      <c r="E11" s="16">
        <f t="shared" si="5"/>
        <v>1231</v>
      </c>
      <c r="F11" s="16">
        <f t="shared" si="2"/>
        <v>191</v>
      </c>
      <c r="G11" s="16">
        <f t="shared" si="3"/>
        <v>36481</v>
      </c>
    </row>
    <row r="12">
      <c r="A12" s="20">
        <v>43810.0</v>
      </c>
      <c r="B12" s="21">
        <v>1208.0</v>
      </c>
      <c r="C12" s="16">
        <f t="shared" si="1"/>
        <v>1521</v>
      </c>
      <c r="D12" s="16">
        <f t="shared" si="4"/>
        <v>1618</v>
      </c>
      <c r="E12" s="16">
        <f t="shared" si="5"/>
        <v>1298</v>
      </c>
      <c r="F12" s="16">
        <f t="shared" si="2"/>
        <v>-313</v>
      </c>
      <c r="G12" s="16">
        <f t="shared" si="3"/>
        <v>97969</v>
      </c>
    </row>
    <row r="13">
      <c r="A13" s="20">
        <v>43811.0</v>
      </c>
      <c r="B13" s="21">
        <v>1618.0</v>
      </c>
      <c r="C13" s="16">
        <f t="shared" si="1"/>
        <v>1521</v>
      </c>
      <c r="D13" s="16">
        <f t="shared" si="4"/>
        <v>1208</v>
      </c>
      <c r="E13" s="16">
        <f t="shared" si="5"/>
        <v>1223</v>
      </c>
      <c r="F13" s="16">
        <f t="shared" si="2"/>
        <v>97</v>
      </c>
      <c r="G13" s="16">
        <f t="shared" si="3"/>
        <v>9409</v>
      </c>
    </row>
    <row r="14">
      <c r="A14" s="20">
        <v>43812.0</v>
      </c>
      <c r="B14" s="21">
        <v>1208.0</v>
      </c>
      <c r="C14" s="16">
        <f t="shared" si="1"/>
        <v>1521</v>
      </c>
      <c r="D14" s="16">
        <f t="shared" si="4"/>
        <v>1404</v>
      </c>
      <c r="E14" s="16">
        <f t="shared" si="5"/>
        <v>1404</v>
      </c>
      <c r="F14" s="16">
        <f t="shared" si="2"/>
        <v>-313</v>
      </c>
      <c r="G14" s="16">
        <f t="shared" si="3"/>
        <v>97969</v>
      </c>
    </row>
    <row r="15">
      <c r="A15" s="20">
        <v>43813.0</v>
      </c>
      <c r="B15" s="21">
        <v>1404.0</v>
      </c>
      <c r="C15" s="16">
        <f t="shared" si="1"/>
        <v>1521</v>
      </c>
      <c r="D15" s="16">
        <f t="shared" si="4"/>
        <v>1223</v>
      </c>
      <c r="E15" s="16">
        <f t="shared" si="5"/>
        <v>1404</v>
      </c>
      <c r="F15" s="16">
        <f t="shared" si="2"/>
        <v>-117</v>
      </c>
      <c r="G15" s="16">
        <f t="shared" si="3"/>
        <v>13689</v>
      </c>
    </row>
    <row r="16">
      <c r="A16" s="20">
        <v>43814.0</v>
      </c>
      <c r="B16" s="21">
        <v>1223.0</v>
      </c>
      <c r="C16" s="16">
        <f t="shared" si="1"/>
        <v>1521</v>
      </c>
      <c r="D16" s="16">
        <f t="shared" si="4"/>
        <v>1404</v>
      </c>
      <c r="E16" s="16">
        <f t="shared" si="5"/>
        <v>1417</v>
      </c>
      <c r="F16" s="16">
        <f t="shared" si="2"/>
        <v>-298</v>
      </c>
      <c r="G16" s="16">
        <f t="shared" si="3"/>
        <v>88804</v>
      </c>
    </row>
    <row r="17">
      <c r="A17" s="20">
        <v>43815.0</v>
      </c>
      <c r="B17" s="21">
        <v>1585.0</v>
      </c>
      <c r="C17" s="16">
        <f t="shared" si="1"/>
        <v>1521</v>
      </c>
      <c r="D17" s="16">
        <f t="shared" si="4"/>
        <v>1501</v>
      </c>
      <c r="E17" s="16">
        <f t="shared" si="5"/>
        <v>1417</v>
      </c>
      <c r="F17" s="16">
        <f t="shared" si="2"/>
        <v>64</v>
      </c>
      <c r="G17" s="16">
        <f t="shared" si="3"/>
        <v>4096</v>
      </c>
    </row>
    <row r="18">
      <c r="A18" s="20">
        <v>43816.0</v>
      </c>
      <c r="B18" s="21">
        <v>1501.0</v>
      </c>
      <c r="C18" s="16">
        <f t="shared" si="1"/>
        <v>1521</v>
      </c>
      <c r="D18" s="16">
        <f t="shared" si="4"/>
        <v>1501</v>
      </c>
      <c r="E18" s="16">
        <f t="shared" si="5"/>
        <v>1417</v>
      </c>
      <c r="F18" s="16">
        <f t="shared" si="2"/>
        <v>-20</v>
      </c>
      <c r="G18" s="16">
        <f t="shared" si="3"/>
        <v>400</v>
      </c>
    </row>
    <row r="19">
      <c r="A19" s="20">
        <v>43817.0</v>
      </c>
      <c r="B19" s="21">
        <v>1417.0</v>
      </c>
      <c r="C19" s="16">
        <f t="shared" si="1"/>
        <v>1521</v>
      </c>
      <c r="D19" s="16">
        <f t="shared" si="4"/>
        <v>1501</v>
      </c>
      <c r="E19" s="16">
        <f t="shared" si="5"/>
        <v>1501</v>
      </c>
      <c r="F19" s="16">
        <f t="shared" si="2"/>
        <v>-104</v>
      </c>
      <c r="G19" s="16">
        <f t="shared" si="3"/>
        <v>10816</v>
      </c>
    </row>
    <row r="20">
      <c r="A20" s="20">
        <v>43818.0</v>
      </c>
      <c r="B20" s="21">
        <v>1698.0</v>
      </c>
      <c r="C20" s="16">
        <f t="shared" si="1"/>
        <v>1521</v>
      </c>
      <c r="D20" s="16">
        <f t="shared" si="4"/>
        <v>1417</v>
      </c>
      <c r="E20" s="16">
        <f t="shared" si="5"/>
        <v>1513</v>
      </c>
      <c r="F20" s="16">
        <f t="shared" si="2"/>
        <v>177</v>
      </c>
      <c r="G20" s="16">
        <f t="shared" si="3"/>
        <v>31329</v>
      </c>
    </row>
    <row r="21">
      <c r="A21" s="20">
        <v>43819.0</v>
      </c>
      <c r="B21" s="21">
        <v>1371.0</v>
      </c>
      <c r="C21" s="16">
        <f t="shared" si="1"/>
        <v>1521</v>
      </c>
      <c r="D21" s="16">
        <f t="shared" si="4"/>
        <v>1558</v>
      </c>
      <c r="E21" s="16">
        <f t="shared" si="5"/>
        <v>1513</v>
      </c>
      <c r="F21" s="16">
        <f t="shared" si="2"/>
        <v>-150</v>
      </c>
      <c r="G21" s="16">
        <f t="shared" si="3"/>
        <v>22500</v>
      </c>
    </row>
    <row r="22">
      <c r="A22" s="20">
        <v>43820.0</v>
      </c>
      <c r="B22" s="21">
        <v>1558.0</v>
      </c>
      <c r="C22" s="16">
        <f t="shared" si="1"/>
        <v>1521</v>
      </c>
      <c r="D22" s="16">
        <f t="shared" si="4"/>
        <v>1513</v>
      </c>
      <c r="E22" s="16">
        <f t="shared" si="5"/>
        <v>1530</v>
      </c>
      <c r="F22" s="16">
        <f t="shared" si="2"/>
        <v>37</v>
      </c>
      <c r="G22" s="16">
        <f t="shared" si="3"/>
        <v>1369</v>
      </c>
    </row>
    <row r="23">
      <c r="A23" s="20">
        <v>43821.0</v>
      </c>
      <c r="B23" s="21">
        <v>1513.0</v>
      </c>
      <c r="C23" s="16">
        <f t="shared" si="1"/>
        <v>1521</v>
      </c>
      <c r="D23" s="16">
        <f t="shared" si="4"/>
        <v>1558</v>
      </c>
      <c r="E23" s="16">
        <f t="shared" si="5"/>
        <v>1530</v>
      </c>
      <c r="F23" s="16">
        <f t="shared" si="2"/>
        <v>-8</v>
      </c>
      <c r="G23" s="16">
        <f t="shared" si="3"/>
        <v>64</v>
      </c>
    </row>
    <row r="24">
      <c r="A24" s="20">
        <v>43822.0</v>
      </c>
      <c r="B24" s="21">
        <v>1661.0</v>
      </c>
      <c r="C24" s="16">
        <f t="shared" si="1"/>
        <v>1521</v>
      </c>
      <c r="D24" s="16">
        <f t="shared" si="4"/>
        <v>1530</v>
      </c>
      <c r="E24" s="16">
        <f t="shared" si="5"/>
        <v>1530</v>
      </c>
      <c r="F24" s="16">
        <f t="shared" si="2"/>
        <v>140</v>
      </c>
      <c r="G24" s="16">
        <f t="shared" si="3"/>
        <v>19600</v>
      </c>
    </row>
    <row r="25">
      <c r="A25" s="20">
        <v>43823.0</v>
      </c>
      <c r="B25" s="21">
        <v>1530.0</v>
      </c>
      <c r="C25" s="16">
        <f t="shared" si="1"/>
        <v>1521</v>
      </c>
      <c r="D25" s="16">
        <f t="shared" si="4"/>
        <v>1530</v>
      </c>
      <c r="E25" s="16">
        <f t="shared" si="5"/>
        <v>1558</v>
      </c>
      <c r="F25" s="16">
        <f t="shared" si="2"/>
        <v>9</v>
      </c>
      <c r="G25" s="16">
        <f t="shared" si="3"/>
        <v>81</v>
      </c>
    </row>
    <row r="26">
      <c r="A26" s="20">
        <v>43824.0</v>
      </c>
      <c r="B26" s="21">
        <v>1286.0</v>
      </c>
      <c r="C26" s="16">
        <f t="shared" si="1"/>
        <v>1521</v>
      </c>
      <c r="D26" s="16">
        <f t="shared" si="4"/>
        <v>1530</v>
      </c>
      <c r="E26" s="16">
        <f t="shared" si="5"/>
        <v>1591</v>
      </c>
      <c r="F26" s="16">
        <f t="shared" si="2"/>
        <v>-235</v>
      </c>
      <c r="G26" s="16">
        <f t="shared" si="3"/>
        <v>55225</v>
      </c>
    </row>
    <row r="27">
      <c r="A27" s="20">
        <v>43825.0</v>
      </c>
      <c r="B27" s="21">
        <v>1591.0</v>
      </c>
      <c r="C27" s="16">
        <f t="shared" si="1"/>
        <v>1521</v>
      </c>
      <c r="D27" s="16">
        <f t="shared" si="4"/>
        <v>1591</v>
      </c>
      <c r="E27" s="16">
        <f t="shared" si="5"/>
        <v>1591</v>
      </c>
      <c r="F27" s="16">
        <f t="shared" si="2"/>
        <v>70</v>
      </c>
      <c r="G27" s="16">
        <f t="shared" si="3"/>
        <v>4900</v>
      </c>
    </row>
    <row r="28">
      <c r="A28" s="20">
        <v>43826.0</v>
      </c>
      <c r="B28" s="21">
        <v>1658.0</v>
      </c>
      <c r="C28" s="16">
        <f t="shared" si="1"/>
        <v>1521</v>
      </c>
      <c r="D28" s="16">
        <f t="shared" si="4"/>
        <v>1646</v>
      </c>
      <c r="E28" s="16">
        <f t="shared" si="5"/>
        <v>1530</v>
      </c>
      <c r="F28" s="16">
        <f t="shared" si="2"/>
        <v>137</v>
      </c>
      <c r="G28" s="16">
        <f t="shared" si="3"/>
        <v>18769</v>
      </c>
    </row>
    <row r="29">
      <c r="A29" s="20">
        <v>43827.0</v>
      </c>
      <c r="B29" s="21">
        <v>1646.0</v>
      </c>
      <c r="C29" s="16">
        <f t="shared" si="1"/>
        <v>1521</v>
      </c>
      <c r="D29" s="16">
        <f t="shared" si="4"/>
        <v>1646</v>
      </c>
      <c r="E29" s="16">
        <f t="shared" si="5"/>
        <v>1591</v>
      </c>
      <c r="F29" s="16">
        <f t="shared" si="2"/>
        <v>125</v>
      </c>
      <c r="G29" s="16">
        <f t="shared" si="3"/>
        <v>15625</v>
      </c>
    </row>
    <row r="30">
      <c r="A30" s="20">
        <v>43828.0</v>
      </c>
      <c r="B30" s="21">
        <v>1408.0</v>
      </c>
      <c r="C30" s="16">
        <f t="shared" si="1"/>
        <v>1521</v>
      </c>
      <c r="D30" s="16">
        <f t="shared" si="4"/>
        <v>1486</v>
      </c>
      <c r="E30" s="16">
        <f t="shared" si="5"/>
        <v>1591</v>
      </c>
      <c r="F30" s="16">
        <f t="shared" si="2"/>
        <v>-113</v>
      </c>
      <c r="G30" s="16">
        <f t="shared" si="3"/>
        <v>12769</v>
      </c>
    </row>
    <row r="31">
      <c r="A31" s="20">
        <v>43829.0</v>
      </c>
      <c r="B31" s="21">
        <v>1486.0</v>
      </c>
      <c r="C31" s="16">
        <f t="shared" si="1"/>
        <v>1521</v>
      </c>
      <c r="D31" s="16">
        <f t="shared" si="4"/>
        <v>1486</v>
      </c>
      <c r="E31" s="16">
        <f t="shared" si="5"/>
        <v>1486</v>
      </c>
      <c r="F31" s="16">
        <f t="shared" si="2"/>
        <v>-35</v>
      </c>
      <c r="G31" s="16">
        <f t="shared" si="3"/>
        <v>1225</v>
      </c>
    </row>
    <row r="32">
      <c r="A32" s="20">
        <v>43830.0</v>
      </c>
      <c r="B32" s="21">
        <v>1703.0</v>
      </c>
      <c r="C32" s="16">
        <f t="shared" si="1"/>
        <v>1521</v>
      </c>
      <c r="D32" s="16">
        <f t="shared" si="4"/>
        <v>1486</v>
      </c>
      <c r="E32" s="16">
        <f t="shared" si="5"/>
        <v>1408</v>
      </c>
      <c r="F32" s="16">
        <f t="shared" si="2"/>
        <v>182</v>
      </c>
      <c r="G32" s="16">
        <f t="shared" si="3"/>
        <v>33124</v>
      </c>
    </row>
    <row r="33">
      <c r="A33" s="20">
        <v>43831.0</v>
      </c>
      <c r="B33" s="21">
        <v>1243.0</v>
      </c>
      <c r="C33" s="16">
        <f t="shared" si="1"/>
        <v>1521</v>
      </c>
      <c r="D33" s="16">
        <f t="shared" si="4"/>
        <v>1243</v>
      </c>
      <c r="E33" s="16">
        <f t="shared" si="5"/>
        <v>1408</v>
      </c>
      <c r="F33" s="16">
        <f t="shared" si="2"/>
        <v>-278</v>
      </c>
      <c r="G33" s="16">
        <f t="shared" si="3"/>
        <v>77284</v>
      </c>
    </row>
    <row r="34">
      <c r="A34" s="20">
        <v>43832.0</v>
      </c>
      <c r="B34" s="21">
        <v>1236.0</v>
      </c>
      <c r="C34" s="16">
        <f t="shared" si="1"/>
        <v>1521</v>
      </c>
      <c r="D34" s="16">
        <f t="shared" si="4"/>
        <v>1243</v>
      </c>
      <c r="E34" s="16">
        <f t="shared" si="5"/>
        <v>1486</v>
      </c>
      <c r="F34" s="16">
        <f t="shared" si="2"/>
        <v>-285</v>
      </c>
      <c r="G34" s="16">
        <f t="shared" si="3"/>
        <v>81225</v>
      </c>
    </row>
    <row r="35">
      <c r="A35" s="20">
        <v>43833.0</v>
      </c>
      <c r="B35" s="21">
        <v>1318.0</v>
      </c>
      <c r="C35" s="16">
        <f t="shared" si="1"/>
        <v>1521</v>
      </c>
      <c r="D35" s="16">
        <f t="shared" si="4"/>
        <v>1318</v>
      </c>
      <c r="E35" s="16">
        <f t="shared" si="5"/>
        <v>1318</v>
      </c>
      <c r="F35" s="16">
        <f t="shared" si="2"/>
        <v>-203</v>
      </c>
      <c r="G35" s="16">
        <f t="shared" si="3"/>
        <v>41209</v>
      </c>
    </row>
    <row r="36">
      <c r="A36" s="20">
        <v>43834.0</v>
      </c>
      <c r="B36" s="21">
        <v>1652.0</v>
      </c>
      <c r="C36" s="16">
        <f t="shared" si="1"/>
        <v>1521</v>
      </c>
      <c r="D36" s="16">
        <f t="shared" si="4"/>
        <v>1514</v>
      </c>
      <c r="E36" s="16">
        <f t="shared" si="5"/>
        <v>1247</v>
      </c>
      <c r="F36" s="16">
        <f t="shared" si="2"/>
        <v>131</v>
      </c>
      <c r="G36" s="16">
        <f t="shared" si="3"/>
        <v>17161</v>
      </c>
    </row>
    <row r="37">
      <c r="A37" s="20">
        <v>43835.0</v>
      </c>
      <c r="B37" s="21">
        <v>1514.0</v>
      </c>
      <c r="C37" s="16">
        <f t="shared" si="1"/>
        <v>1521</v>
      </c>
      <c r="D37" s="16">
        <f t="shared" si="4"/>
        <v>1514</v>
      </c>
      <c r="E37" s="16">
        <f t="shared" si="5"/>
        <v>1313</v>
      </c>
      <c r="F37" s="16">
        <f t="shared" si="2"/>
        <v>-7</v>
      </c>
      <c r="G37" s="16">
        <f t="shared" si="3"/>
        <v>49</v>
      </c>
    </row>
    <row r="38">
      <c r="A38" s="20">
        <v>43836.0</v>
      </c>
      <c r="B38" s="21">
        <v>1230.0</v>
      </c>
      <c r="C38" s="16">
        <f t="shared" si="1"/>
        <v>1521</v>
      </c>
      <c r="D38" s="16">
        <f t="shared" si="4"/>
        <v>1247</v>
      </c>
      <c r="E38" s="16">
        <f t="shared" si="5"/>
        <v>1313</v>
      </c>
      <c r="F38" s="16">
        <f t="shared" si="2"/>
        <v>-291</v>
      </c>
      <c r="G38" s="16">
        <f t="shared" si="3"/>
        <v>84681</v>
      </c>
    </row>
    <row r="39">
      <c r="A39" s="20">
        <v>43837.0</v>
      </c>
      <c r="B39" s="21">
        <v>1247.0</v>
      </c>
      <c r="C39" s="16">
        <f t="shared" si="1"/>
        <v>1521</v>
      </c>
      <c r="D39" s="16">
        <f t="shared" si="4"/>
        <v>1247</v>
      </c>
      <c r="E39" s="16">
        <f t="shared" si="5"/>
        <v>1313</v>
      </c>
      <c r="F39" s="16">
        <f t="shared" si="2"/>
        <v>-274</v>
      </c>
      <c r="G39" s="16">
        <f t="shared" si="3"/>
        <v>75076</v>
      </c>
    </row>
    <row r="40">
      <c r="A40" s="20">
        <v>43838.0</v>
      </c>
      <c r="B40" s="21">
        <v>1313.0</v>
      </c>
      <c r="C40" s="16">
        <f t="shared" si="1"/>
        <v>1521</v>
      </c>
      <c r="D40" s="16">
        <f t="shared" si="4"/>
        <v>1280</v>
      </c>
      <c r="E40" s="16">
        <f t="shared" si="5"/>
        <v>1313</v>
      </c>
      <c r="F40" s="16">
        <f t="shared" si="2"/>
        <v>-208</v>
      </c>
      <c r="G40" s="16">
        <f t="shared" si="3"/>
        <v>43264</v>
      </c>
    </row>
    <row r="41">
      <c r="A41" s="20">
        <v>43839.0</v>
      </c>
      <c r="B41" s="21">
        <v>1280.0</v>
      </c>
      <c r="C41" s="16">
        <f t="shared" si="1"/>
        <v>1521</v>
      </c>
      <c r="D41" s="16">
        <f t="shared" si="4"/>
        <v>1313</v>
      </c>
      <c r="E41" s="16">
        <f t="shared" si="5"/>
        <v>1313</v>
      </c>
      <c r="F41" s="16">
        <f t="shared" si="2"/>
        <v>-241</v>
      </c>
      <c r="G41" s="16">
        <f t="shared" si="3"/>
        <v>58081</v>
      </c>
    </row>
    <row r="42">
      <c r="A42" s="20">
        <v>43840.0</v>
      </c>
      <c r="B42" s="21">
        <v>1392.0</v>
      </c>
      <c r="C42" s="16">
        <f t="shared" si="1"/>
        <v>1521</v>
      </c>
      <c r="D42" s="16">
        <f t="shared" si="4"/>
        <v>1392</v>
      </c>
      <c r="E42" s="16">
        <f t="shared" si="5"/>
        <v>1313</v>
      </c>
      <c r="F42" s="16">
        <f t="shared" si="2"/>
        <v>-129</v>
      </c>
      <c r="G42" s="16">
        <f t="shared" si="3"/>
        <v>16641</v>
      </c>
    </row>
    <row r="43">
      <c r="A43" s="20">
        <v>43841.0</v>
      </c>
      <c r="B43" s="21">
        <v>1504.0</v>
      </c>
      <c r="C43" s="16">
        <f t="shared" si="1"/>
        <v>1521</v>
      </c>
      <c r="D43" s="16">
        <f t="shared" si="4"/>
        <v>1392</v>
      </c>
      <c r="E43" s="16">
        <f t="shared" si="5"/>
        <v>1356</v>
      </c>
      <c r="F43" s="16">
        <f t="shared" si="2"/>
        <v>-17</v>
      </c>
      <c r="G43" s="16">
        <f t="shared" si="3"/>
        <v>289</v>
      </c>
    </row>
    <row r="44">
      <c r="A44" s="20">
        <v>43842.0</v>
      </c>
      <c r="B44" s="21">
        <v>1356.0</v>
      </c>
      <c r="C44" s="16">
        <f t="shared" si="1"/>
        <v>1521</v>
      </c>
      <c r="D44" s="16">
        <f t="shared" si="4"/>
        <v>1356</v>
      </c>
      <c r="E44" s="16">
        <f t="shared" si="5"/>
        <v>1356</v>
      </c>
      <c r="F44" s="16">
        <f t="shared" si="2"/>
        <v>-165</v>
      </c>
      <c r="G44" s="16">
        <f t="shared" si="3"/>
        <v>27225</v>
      </c>
    </row>
    <row r="45">
      <c r="A45" s="20">
        <v>43843.0</v>
      </c>
      <c r="B45" s="21">
        <v>1302.0</v>
      </c>
      <c r="C45" s="16">
        <f t="shared" si="1"/>
        <v>1521</v>
      </c>
      <c r="D45" s="16">
        <f t="shared" si="4"/>
        <v>1356</v>
      </c>
      <c r="E45" s="16">
        <f t="shared" si="5"/>
        <v>1392</v>
      </c>
      <c r="F45" s="16">
        <f t="shared" si="2"/>
        <v>-219</v>
      </c>
      <c r="G45" s="16">
        <f t="shared" si="3"/>
        <v>47961</v>
      </c>
    </row>
    <row r="46">
      <c r="A46" s="20">
        <v>43844.0</v>
      </c>
      <c r="B46" s="21">
        <v>1525.0</v>
      </c>
      <c r="C46" s="16">
        <f t="shared" si="1"/>
        <v>1521</v>
      </c>
      <c r="D46" s="16">
        <f t="shared" si="4"/>
        <v>1302</v>
      </c>
      <c r="E46" s="16">
        <f t="shared" si="5"/>
        <v>1356</v>
      </c>
      <c r="F46" s="16">
        <f t="shared" si="2"/>
        <v>4</v>
      </c>
      <c r="G46" s="16">
        <f t="shared" si="3"/>
        <v>16</v>
      </c>
    </row>
    <row r="47">
      <c r="A47" s="20">
        <v>43845.0</v>
      </c>
      <c r="B47" s="21">
        <v>1287.0</v>
      </c>
      <c r="C47" s="16">
        <f t="shared" si="1"/>
        <v>1521</v>
      </c>
      <c r="D47" s="16">
        <f t="shared" si="4"/>
        <v>1488</v>
      </c>
      <c r="E47" s="16">
        <f t="shared" si="5"/>
        <v>1302</v>
      </c>
      <c r="F47" s="16">
        <f t="shared" si="2"/>
        <v>-234</v>
      </c>
      <c r="G47" s="16">
        <f t="shared" si="3"/>
        <v>54756</v>
      </c>
    </row>
    <row r="48">
      <c r="A48" s="20">
        <v>43846.0</v>
      </c>
      <c r="B48" s="21">
        <v>1488.0</v>
      </c>
      <c r="C48" s="16">
        <f t="shared" si="1"/>
        <v>1521</v>
      </c>
      <c r="D48" s="16">
        <f t="shared" si="4"/>
        <v>1287</v>
      </c>
      <c r="E48" s="16">
        <f t="shared" si="5"/>
        <v>1302</v>
      </c>
      <c r="F48" s="16">
        <f t="shared" si="2"/>
        <v>-33</v>
      </c>
      <c r="G48" s="16">
        <f t="shared" si="3"/>
        <v>1089</v>
      </c>
    </row>
    <row r="49">
      <c r="A49" s="20">
        <v>43847.0</v>
      </c>
      <c r="B49" s="21">
        <v>1180.0</v>
      </c>
      <c r="C49" s="16">
        <f t="shared" si="1"/>
        <v>1521</v>
      </c>
      <c r="D49" s="16">
        <f t="shared" si="4"/>
        <v>1295</v>
      </c>
      <c r="E49" s="16">
        <f t="shared" si="5"/>
        <v>1295</v>
      </c>
      <c r="F49" s="16">
        <f t="shared" si="2"/>
        <v>-341</v>
      </c>
      <c r="G49" s="16">
        <f t="shared" si="3"/>
        <v>116281</v>
      </c>
    </row>
    <row r="50">
      <c r="A50" s="20">
        <v>43848.0</v>
      </c>
      <c r="B50" s="21">
        <v>1295.0</v>
      </c>
      <c r="C50" s="16">
        <f t="shared" si="1"/>
        <v>1521</v>
      </c>
      <c r="D50" s="16">
        <f t="shared" si="4"/>
        <v>1295</v>
      </c>
      <c r="E50" s="16">
        <f t="shared" si="5"/>
        <v>1287</v>
      </c>
      <c r="F50" s="16">
        <f t="shared" si="2"/>
        <v>-226</v>
      </c>
      <c r="G50" s="16">
        <f t="shared" si="3"/>
        <v>51076</v>
      </c>
    </row>
    <row r="51">
      <c r="A51" s="20">
        <v>43849.0</v>
      </c>
      <c r="B51" s="21">
        <v>1580.0</v>
      </c>
      <c r="C51" s="16">
        <f t="shared" si="1"/>
        <v>1521</v>
      </c>
      <c r="D51" s="16">
        <f t="shared" si="4"/>
        <v>1295</v>
      </c>
      <c r="E51" s="16">
        <f t="shared" si="5"/>
        <v>1295</v>
      </c>
      <c r="F51" s="16">
        <f t="shared" si="2"/>
        <v>59</v>
      </c>
      <c r="G51" s="16">
        <f t="shared" si="3"/>
        <v>3481</v>
      </c>
    </row>
    <row r="52">
      <c r="A52" s="20">
        <v>43850.0</v>
      </c>
      <c r="B52" s="21">
        <v>1212.0</v>
      </c>
      <c r="C52" s="16">
        <f t="shared" si="1"/>
        <v>1521</v>
      </c>
      <c r="D52" s="16">
        <f t="shared" si="4"/>
        <v>1222</v>
      </c>
      <c r="E52" s="16">
        <f t="shared" si="5"/>
        <v>1295</v>
      </c>
      <c r="F52" s="16">
        <f t="shared" si="2"/>
        <v>-309</v>
      </c>
      <c r="G52" s="16">
        <f t="shared" si="3"/>
        <v>95481</v>
      </c>
    </row>
    <row r="53">
      <c r="A53" s="20">
        <v>43851.0</v>
      </c>
      <c r="B53" s="21">
        <v>1222.0</v>
      </c>
      <c r="C53" s="16">
        <f t="shared" si="1"/>
        <v>1521</v>
      </c>
      <c r="D53" s="16">
        <f t="shared" si="4"/>
        <v>1222</v>
      </c>
      <c r="E53" s="16">
        <f t="shared" si="5"/>
        <v>1436</v>
      </c>
      <c r="F53" s="16">
        <f t="shared" si="2"/>
        <v>-299</v>
      </c>
      <c r="G53" s="16">
        <f t="shared" si="3"/>
        <v>89401</v>
      </c>
    </row>
    <row r="54">
      <c r="A54" s="20">
        <v>43852.0</v>
      </c>
      <c r="B54" s="21">
        <v>1669.0</v>
      </c>
      <c r="C54" s="16">
        <f t="shared" si="1"/>
        <v>1521</v>
      </c>
      <c r="D54" s="16">
        <f t="shared" si="4"/>
        <v>1567</v>
      </c>
      <c r="E54" s="16">
        <f t="shared" si="5"/>
        <v>1436</v>
      </c>
      <c r="F54" s="16">
        <f t="shared" si="2"/>
        <v>148</v>
      </c>
      <c r="G54" s="16">
        <f t="shared" si="3"/>
        <v>21904</v>
      </c>
    </row>
    <row r="55">
      <c r="A55" s="20">
        <v>43853.0</v>
      </c>
      <c r="B55" s="21">
        <v>1567.0</v>
      </c>
      <c r="C55" s="16">
        <f t="shared" si="1"/>
        <v>1521</v>
      </c>
      <c r="D55" s="16">
        <f t="shared" si="4"/>
        <v>1567</v>
      </c>
      <c r="E55" s="16">
        <f t="shared" si="5"/>
        <v>1252</v>
      </c>
      <c r="F55" s="16">
        <f t="shared" si="2"/>
        <v>46</v>
      </c>
      <c r="G55" s="16">
        <f t="shared" si="3"/>
        <v>2116</v>
      </c>
    </row>
    <row r="56">
      <c r="A56" s="20">
        <v>43854.0</v>
      </c>
      <c r="B56" s="21">
        <v>1436.0</v>
      </c>
      <c r="C56" s="16">
        <f t="shared" si="1"/>
        <v>1521</v>
      </c>
      <c r="D56" s="16">
        <f t="shared" si="4"/>
        <v>1436</v>
      </c>
      <c r="E56" s="16">
        <f t="shared" si="5"/>
        <v>1436</v>
      </c>
      <c r="F56" s="16">
        <f t="shared" si="2"/>
        <v>-85</v>
      </c>
      <c r="G56" s="16">
        <f t="shared" si="3"/>
        <v>7225</v>
      </c>
    </row>
    <row r="57">
      <c r="A57" s="20">
        <v>43855.0</v>
      </c>
      <c r="B57" s="21">
        <v>1234.0</v>
      </c>
      <c r="C57" s="16">
        <f t="shared" si="1"/>
        <v>1521</v>
      </c>
      <c r="D57" s="16">
        <f t="shared" si="4"/>
        <v>1252</v>
      </c>
      <c r="E57" s="16">
        <f t="shared" si="5"/>
        <v>1436</v>
      </c>
      <c r="F57" s="16">
        <f t="shared" si="2"/>
        <v>-287</v>
      </c>
      <c r="G57" s="16">
        <f t="shared" si="3"/>
        <v>82369</v>
      </c>
    </row>
    <row r="58">
      <c r="A58" s="20">
        <v>43856.0</v>
      </c>
      <c r="B58" s="21">
        <v>1252.0</v>
      </c>
      <c r="C58" s="16">
        <f t="shared" si="1"/>
        <v>1521</v>
      </c>
      <c r="D58" s="16">
        <f t="shared" si="4"/>
        <v>1252</v>
      </c>
      <c r="E58" s="16">
        <f t="shared" si="5"/>
        <v>1436</v>
      </c>
      <c r="F58" s="16">
        <f t="shared" si="2"/>
        <v>-269</v>
      </c>
      <c r="G58" s="16">
        <f t="shared" si="3"/>
        <v>72361</v>
      </c>
    </row>
    <row r="59">
      <c r="A59" s="20">
        <v>43857.0</v>
      </c>
      <c r="B59" s="21">
        <v>1624.0</v>
      </c>
      <c r="C59" s="16">
        <f t="shared" si="1"/>
        <v>1521</v>
      </c>
      <c r="D59" s="16">
        <f t="shared" si="4"/>
        <v>1256</v>
      </c>
      <c r="E59" s="16">
        <f t="shared" si="5"/>
        <v>1436</v>
      </c>
      <c r="F59" s="16">
        <f t="shared" si="2"/>
        <v>103</v>
      </c>
      <c r="G59" s="16">
        <f t="shared" si="3"/>
        <v>10609</v>
      </c>
    </row>
    <row r="60">
      <c r="A60" s="20">
        <v>43858.0</v>
      </c>
      <c r="B60" s="21">
        <v>1256.0</v>
      </c>
      <c r="C60" s="16">
        <f t="shared" si="1"/>
        <v>1521</v>
      </c>
      <c r="D60" s="16">
        <f t="shared" si="4"/>
        <v>1624</v>
      </c>
      <c r="E60" s="16">
        <f t="shared" si="5"/>
        <v>1403</v>
      </c>
      <c r="F60" s="16">
        <f t="shared" si="2"/>
        <v>-265</v>
      </c>
      <c r="G60" s="16">
        <f t="shared" si="3"/>
        <v>70225</v>
      </c>
    </row>
    <row r="61">
      <c r="A61" s="20">
        <v>43859.0</v>
      </c>
      <c r="B61" s="21">
        <v>1680.0</v>
      </c>
      <c r="C61" s="16">
        <f t="shared" si="1"/>
        <v>1521</v>
      </c>
      <c r="D61" s="16">
        <f t="shared" si="4"/>
        <v>1592</v>
      </c>
      <c r="E61" s="16">
        <f t="shared" si="5"/>
        <v>1592</v>
      </c>
      <c r="F61" s="16">
        <f t="shared" si="2"/>
        <v>159</v>
      </c>
      <c r="G61" s="16">
        <f t="shared" si="3"/>
        <v>25281</v>
      </c>
    </row>
    <row r="62">
      <c r="A62" s="20">
        <v>43860.0</v>
      </c>
      <c r="B62" s="21">
        <v>1592.0</v>
      </c>
      <c r="C62" s="16">
        <f t="shared" si="1"/>
        <v>1521</v>
      </c>
      <c r="D62" s="16">
        <f t="shared" si="4"/>
        <v>1592</v>
      </c>
      <c r="E62" s="16">
        <f t="shared" si="5"/>
        <v>1613</v>
      </c>
      <c r="F62" s="16">
        <f t="shared" si="2"/>
        <v>71</v>
      </c>
      <c r="G62" s="16">
        <f t="shared" si="3"/>
        <v>5041</v>
      </c>
    </row>
    <row r="63">
      <c r="A63" s="20">
        <v>43861.0</v>
      </c>
      <c r="B63" s="21">
        <v>1403.0</v>
      </c>
      <c r="C63" s="16">
        <f t="shared" si="1"/>
        <v>1521</v>
      </c>
      <c r="D63" s="16">
        <f t="shared" si="4"/>
        <v>1592</v>
      </c>
      <c r="E63" s="16">
        <f t="shared" si="5"/>
        <v>1592</v>
      </c>
      <c r="F63" s="16">
        <f t="shared" si="2"/>
        <v>-118</v>
      </c>
      <c r="G63" s="16">
        <f t="shared" si="3"/>
        <v>13924</v>
      </c>
    </row>
    <row r="64">
      <c r="A64" s="20">
        <v>43862.0</v>
      </c>
      <c r="B64" s="21">
        <v>1613.0</v>
      </c>
      <c r="C64" s="16">
        <f t="shared" si="1"/>
        <v>1521</v>
      </c>
      <c r="D64" s="16">
        <f t="shared" si="4"/>
        <v>1613</v>
      </c>
      <c r="E64" s="16">
        <f t="shared" si="5"/>
        <v>1610</v>
      </c>
      <c r="F64" s="16">
        <f t="shared" si="2"/>
        <v>92</v>
      </c>
      <c r="G64" s="16">
        <f t="shared" si="3"/>
        <v>8464</v>
      </c>
    </row>
    <row r="65">
      <c r="A65" s="20">
        <v>43863.0</v>
      </c>
      <c r="B65" s="21">
        <v>1652.0</v>
      </c>
      <c r="C65" s="16">
        <f t="shared" si="1"/>
        <v>1521</v>
      </c>
      <c r="D65" s="16">
        <f t="shared" si="4"/>
        <v>1613</v>
      </c>
      <c r="E65" s="16">
        <f t="shared" si="5"/>
        <v>1610</v>
      </c>
      <c r="F65" s="16">
        <f t="shared" si="2"/>
        <v>131</v>
      </c>
      <c r="G65" s="16">
        <f t="shared" si="3"/>
        <v>17161</v>
      </c>
    </row>
    <row r="66">
      <c r="A66" s="20">
        <v>43864.0</v>
      </c>
      <c r="B66" s="21">
        <v>1298.0</v>
      </c>
      <c r="C66" s="16">
        <f t="shared" si="1"/>
        <v>1521</v>
      </c>
      <c r="D66" s="16">
        <f t="shared" si="4"/>
        <v>1610</v>
      </c>
      <c r="E66" s="16">
        <f t="shared" si="5"/>
        <v>1610</v>
      </c>
      <c r="F66" s="16">
        <f t="shared" si="2"/>
        <v>-223</v>
      </c>
      <c r="G66" s="16">
        <f t="shared" si="3"/>
        <v>49729</v>
      </c>
    </row>
    <row r="67">
      <c r="A67" s="20">
        <v>43865.0</v>
      </c>
      <c r="B67" s="21">
        <v>1610.0</v>
      </c>
      <c r="C67" s="16">
        <f t="shared" si="1"/>
        <v>1521</v>
      </c>
      <c r="D67" s="16">
        <f t="shared" si="4"/>
        <v>1610</v>
      </c>
      <c r="E67" s="16">
        <f t="shared" si="5"/>
        <v>1613</v>
      </c>
      <c r="F67" s="16">
        <f t="shared" si="2"/>
        <v>89</v>
      </c>
      <c r="G67" s="16">
        <f t="shared" si="3"/>
        <v>7921</v>
      </c>
    </row>
    <row r="68">
      <c r="A68" s="20">
        <v>43866.0</v>
      </c>
      <c r="B68" s="21">
        <v>1613.0</v>
      </c>
      <c r="C68" s="16">
        <f t="shared" si="1"/>
        <v>1521</v>
      </c>
      <c r="D68" s="16">
        <f t="shared" si="4"/>
        <v>1610</v>
      </c>
      <c r="E68" s="16">
        <f t="shared" si="5"/>
        <v>1613</v>
      </c>
      <c r="F68" s="16">
        <f t="shared" si="2"/>
        <v>92</v>
      </c>
      <c r="G68" s="16">
        <f t="shared" si="3"/>
        <v>8464</v>
      </c>
    </row>
    <row r="69">
      <c r="A69" s="20">
        <v>43867.0</v>
      </c>
      <c r="B69" s="21">
        <v>1428.0</v>
      </c>
      <c r="C69" s="16">
        <f t="shared" si="1"/>
        <v>1521</v>
      </c>
      <c r="D69" s="16">
        <f t="shared" si="4"/>
        <v>1613</v>
      </c>
      <c r="E69" s="16">
        <f t="shared" si="5"/>
        <v>1613</v>
      </c>
      <c r="F69" s="16">
        <f t="shared" si="2"/>
        <v>-93</v>
      </c>
      <c r="G69" s="16">
        <f t="shared" si="3"/>
        <v>8649</v>
      </c>
    </row>
    <row r="70">
      <c r="A70" s="20">
        <v>43868.0</v>
      </c>
      <c r="B70" s="21">
        <v>1614.0</v>
      </c>
      <c r="C70" s="16">
        <f t="shared" si="1"/>
        <v>1521</v>
      </c>
      <c r="D70" s="16">
        <f t="shared" si="4"/>
        <v>1614</v>
      </c>
      <c r="E70" s="16">
        <f t="shared" si="5"/>
        <v>1613</v>
      </c>
      <c r="F70" s="16">
        <f t="shared" si="2"/>
        <v>93</v>
      </c>
      <c r="G70" s="16">
        <f t="shared" si="3"/>
        <v>8649</v>
      </c>
    </row>
    <row r="71">
      <c r="A71" s="20">
        <v>43869.0</v>
      </c>
      <c r="B71" s="21">
        <v>1688.0</v>
      </c>
      <c r="C71" s="16">
        <f t="shared" si="1"/>
        <v>1521</v>
      </c>
      <c r="D71" s="16">
        <f t="shared" si="4"/>
        <v>1679</v>
      </c>
      <c r="E71" s="16">
        <f t="shared" si="5"/>
        <v>1613</v>
      </c>
      <c r="F71" s="16">
        <f t="shared" si="2"/>
        <v>167</v>
      </c>
      <c r="G71" s="16">
        <f t="shared" si="3"/>
        <v>27889</v>
      </c>
    </row>
    <row r="72">
      <c r="A72" s="20">
        <v>43870.0</v>
      </c>
      <c r="B72" s="21">
        <v>1679.0</v>
      </c>
      <c r="C72" s="16">
        <f t="shared" si="1"/>
        <v>1521</v>
      </c>
      <c r="D72" s="16">
        <f t="shared" si="4"/>
        <v>1679</v>
      </c>
      <c r="E72" s="16">
        <f t="shared" si="5"/>
        <v>1614</v>
      </c>
      <c r="F72" s="16">
        <f t="shared" si="2"/>
        <v>158</v>
      </c>
      <c r="G72" s="16">
        <f t="shared" si="3"/>
        <v>24964</v>
      </c>
    </row>
    <row r="73">
      <c r="A73" s="20">
        <v>43871.0</v>
      </c>
      <c r="B73" s="21">
        <v>1547.0</v>
      </c>
      <c r="C73" s="16">
        <f t="shared" si="1"/>
        <v>1521</v>
      </c>
      <c r="D73" s="16">
        <f t="shared" si="4"/>
        <v>1603</v>
      </c>
      <c r="E73" s="16">
        <f t="shared" si="5"/>
        <v>1614</v>
      </c>
      <c r="F73" s="16">
        <f t="shared" si="2"/>
        <v>26</v>
      </c>
      <c r="G73" s="16">
        <f t="shared" si="3"/>
        <v>676</v>
      </c>
    </row>
    <row r="74">
      <c r="A74" s="20">
        <v>43872.0</v>
      </c>
      <c r="B74" s="21">
        <v>1603.0</v>
      </c>
      <c r="C74" s="16">
        <f t="shared" si="1"/>
        <v>1521</v>
      </c>
      <c r="D74" s="16">
        <f t="shared" si="4"/>
        <v>1603</v>
      </c>
      <c r="E74" s="16">
        <f t="shared" si="5"/>
        <v>1603</v>
      </c>
      <c r="F74" s="16">
        <f t="shared" si="2"/>
        <v>82</v>
      </c>
      <c r="G74" s="16">
        <f t="shared" si="3"/>
        <v>6724</v>
      </c>
    </row>
    <row r="75">
      <c r="A75" s="20">
        <v>43873.0</v>
      </c>
      <c r="B75" s="21">
        <v>1680.0</v>
      </c>
      <c r="C75" s="16">
        <f t="shared" si="1"/>
        <v>1521</v>
      </c>
      <c r="D75" s="16">
        <f t="shared" si="4"/>
        <v>1603</v>
      </c>
      <c r="E75" s="16">
        <f t="shared" si="5"/>
        <v>1564</v>
      </c>
      <c r="F75" s="16">
        <f t="shared" si="2"/>
        <v>159</v>
      </c>
      <c r="G75" s="16">
        <f t="shared" si="3"/>
        <v>25281</v>
      </c>
    </row>
    <row r="76">
      <c r="A76" s="20">
        <v>43874.0</v>
      </c>
      <c r="B76" s="21">
        <v>1564.0</v>
      </c>
      <c r="C76" s="16">
        <f t="shared" si="1"/>
        <v>1521</v>
      </c>
      <c r="D76" s="16">
        <f t="shared" si="4"/>
        <v>1564</v>
      </c>
      <c r="E76" s="16">
        <f t="shared" si="5"/>
        <v>1564</v>
      </c>
      <c r="F76" s="16">
        <f t="shared" si="2"/>
        <v>43</v>
      </c>
      <c r="G76" s="16">
        <f t="shared" si="3"/>
        <v>1849</v>
      </c>
    </row>
    <row r="77">
      <c r="A77" s="20">
        <v>43875.0</v>
      </c>
      <c r="B77" s="21">
        <v>1448.0</v>
      </c>
      <c r="C77" s="16">
        <f t="shared" si="1"/>
        <v>1521</v>
      </c>
      <c r="D77" s="16">
        <f t="shared" si="4"/>
        <v>1448</v>
      </c>
      <c r="E77" s="16">
        <f t="shared" si="5"/>
        <v>1565</v>
      </c>
      <c r="F77" s="16">
        <f t="shared" si="2"/>
        <v>-73</v>
      </c>
      <c r="G77" s="16">
        <f t="shared" si="3"/>
        <v>5329</v>
      </c>
    </row>
    <row r="78">
      <c r="A78" s="20">
        <v>43876.0</v>
      </c>
      <c r="B78" s="21">
        <v>1257.0</v>
      </c>
      <c r="C78" s="16">
        <f t="shared" si="1"/>
        <v>1521</v>
      </c>
      <c r="D78" s="16">
        <f t="shared" si="4"/>
        <v>1448</v>
      </c>
      <c r="E78" s="16">
        <f t="shared" si="5"/>
        <v>1564</v>
      </c>
      <c r="F78" s="16">
        <f t="shared" si="2"/>
        <v>-264</v>
      </c>
      <c r="G78" s="16">
        <f t="shared" si="3"/>
        <v>69696</v>
      </c>
    </row>
    <row r="79">
      <c r="A79" s="20">
        <v>43877.0</v>
      </c>
      <c r="B79" s="21">
        <v>1687.0</v>
      </c>
      <c r="C79" s="16">
        <f t="shared" si="1"/>
        <v>1521</v>
      </c>
      <c r="D79" s="16">
        <f t="shared" si="4"/>
        <v>1565</v>
      </c>
      <c r="E79" s="16">
        <f t="shared" si="5"/>
        <v>1564</v>
      </c>
      <c r="F79" s="16">
        <f t="shared" si="2"/>
        <v>166</v>
      </c>
      <c r="G79" s="16">
        <f t="shared" si="3"/>
        <v>27556</v>
      </c>
    </row>
    <row r="80">
      <c r="A80" s="20">
        <v>43878.0</v>
      </c>
      <c r="B80" s="21">
        <v>1565.0</v>
      </c>
      <c r="C80" s="16">
        <f t="shared" si="1"/>
        <v>1521</v>
      </c>
      <c r="D80" s="16">
        <f t="shared" si="4"/>
        <v>1565</v>
      </c>
      <c r="E80" s="16">
        <f t="shared" si="5"/>
        <v>1565</v>
      </c>
      <c r="F80" s="16">
        <f t="shared" si="2"/>
        <v>44</v>
      </c>
      <c r="G80" s="16">
        <f t="shared" si="3"/>
        <v>1936</v>
      </c>
    </row>
    <row r="81">
      <c r="A81" s="20">
        <v>43879.0</v>
      </c>
      <c r="B81" s="21">
        <v>1357.0</v>
      </c>
      <c r="C81" s="16">
        <f t="shared" si="1"/>
        <v>1521</v>
      </c>
      <c r="D81" s="16">
        <f t="shared" si="4"/>
        <v>1565</v>
      </c>
      <c r="E81" s="16">
        <f t="shared" si="5"/>
        <v>1565</v>
      </c>
      <c r="F81" s="16">
        <f t="shared" si="2"/>
        <v>-164</v>
      </c>
      <c r="G81" s="16">
        <f t="shared" si="3"/>
        <v>26896</v>
      </c>
    </row>
    <row r="82">
      <c r="A82" s="20">
        <v>43880.0</v>
      </c>
      <c r="B82" s="21">
        <v>1700.0</v>
      </c>
      <c r="C82" s="16">
        <f t="shared" si="1"/>
        <v>1521</v>
      </c>
      <c r="D82" s="16">
        <f t="shared" si="4"/>
        <v>1695</v>
      </c>
      <c r="E82" s="16">
        <f t="shared" si="5"/>
        <v>1640</v>
      </c>
      <c r="F82" s="16">
        <f t="shared" si="2"/>
        <v>179</v>
      </c>
      <c r="G82" s="16">
        <f t="shared" si="3"/>
        <v>32041</v>
      </c>
    </row>
    <row r="83">
      <c r="A83" s="20">
        <v>43881.0</v>
      </c>
      <c r="B83" s="21">
        <v>1695.0</v>
      </c>
      <c r="C83" s="16">
        <f t="shared" si="1"/>
        <v>1521</v>
      </c>
      <c r="D83" s="16">
        <f t="shared" si="4"/>
        <v>1695</v>
      </c>
      <c r="E83" s="16">
        <f t="shared" si="5"/>
        <v>1636</v>
      </c>
      <c r="F83" s="16">
        <f t="shared" si="2"/>
        <v>174</v>
      </c>
      <c r="G83" s="16">
        <f t="shared" si="3"/>
        <v>30276</v>
      </c>
    </row>
    <row r="84">
      <c r="A84" s="20">
        <v>43882.0</v>
      </c>
      <c r="B84" s="21">
        <v>1513.0</v>
      </c>
      <c r="C84" s="16">
        <f t="shared" si="1"/>
        <v>1521</v>
      </c>
      <c r="D84" s="16">
        <f t="shared" si="4"/>
        <v>1640</v>
      </c>
      <c r="E84" s="16">
        <f t="shared" si="5"/>
        <v>1640</v>
      </c>
      <c r="F84" s="16">
        <f t="shared" si="2"/>
        <v>-8</v>
      </c>
      <c r="G84" s="16">
        <f t="shared" si="3"/>
        <v>64</v>
      </c>
    </row>
    <row r="85">
      <c r="A85" s="20">
        <v>43883.0</v>
      </c>
      <c r="B85" s="21">
        <v>1640.0</v>
      </c>
      <c r="C85" s="16">
        <f t="shared" si="1"/>
        <v>1521</v>
      </c>
      <c r="D85" s="16">
        <f t="shared" si="4"/>
        <v>1636</v>
      </c>
      <c r="E85" s="16">
        <f t="shared" si="5"/>
        <v>1640</v>
      </c>
      <c r="F85" s="16">
        <f t="shared" si="2"/>
        <v>119</v>
      </c>
      <c r="G85" s="16">
        <f t="shared" si="3"/>
        <v>14161</v>
      </c>
    </row>
    <row r="86">
      <c r="A86" s="20">
        <v>43884.0</v>
      </c>
      <c r="B86" s="21">
        <v>1636.0</v>
      </c>
      <c r="C86" s="16">
        <f t="shared" si="1"/>
        <v>1521</v>
      </c>
      <c r="D86" s="16">
        <f t="shared" si="4"/>
        <v>1640</v>
      </c>
      <c r="E86" s="16">
        <f t="shared" si="5"/>
        <v>1636</v>
      </c>
      <c r="F86" s="16">
        <f t="shared" si="2"/>
        <v>115</v>
      </c>
      <c r="G86" s="16">
        <f t="shared" si="3"/>
        <v>13225</v>
      </c>
    </row>
    <row r="87">
      <c r="A87" s="20">
        <v>43885.0</v>
      </c>
      <c r="B87" s="21">
        <v>1716.0</v>
      </c>
      <c r="C87" s="16">
        <f t="shared" si="1"/>
        <v>1521</v>
      </c>
      <c r="D87" s="16">
        <f t="shared" si="4"/>
        <v>1636</v>
      </c>
      <c r="E87" s="16">
        <f t="shared" si="5"/>
        <v>1567</v>
      </c>
      <c r="F87" s="16">
        <f t="shared" si="2"/>
        <v>195</v>
      </c>
      <c r="G87" s="16">
        <f t="shared" si="3"/>
        <v>38025</v>
      </c>
    </row>
    <row r="88">
      <c r="A88" s="20">
        <v>43886.0</v>
      </c>
      <c r="B88" s="21">
        <v>1381.0</v>
      </c>
      <c r="C88" s="16">
        <f t="shared" si="1"/>
        <v>1521</v>
      </c>
      <c r="D88" s="16">
        <f t="shared" si="4"/>
        <v>1567</v>
      </c>
      <c r="E88" s="16">
        <f t="shared" si="5"/>
        <v>1567</v>
      </c>
      <c r="F88" s="16">
        <f t="shared" si="2"/>
        <v>-140</v>
      </c>
      <c r="G88" s="16">
        <f t="shared" si="3"/>
        <v>19600</v>
      </c>
    </row>
    <row r="89">
      <c r="A89" s="20">
        <v>43887.0</v>
      </c>
      <c r="B89" s="21">
        <v>1567.0</v>
      </c>
      <c r="C89" s="16">
        <f t="shared" si="1"/>
        <v>1521</v>
      </c>
      <c r="D89" s="16">
        <f t="shared" si="4"/>
        <v>1477</v>
      </c>
      <c r="E89" s="16">
        <f t="shared" si="5"/>
        <v>1477</v>
      </c>
      <c r="F89" s="16">
        <f t="shared" si="2"/>
        <v>46</v>
      </c>
      <c r="G89" s="16">
        <f t="shared" si="3"/>
        <v>2116</v>
      </c>
    </row>
    <row r="90">
      <c r="A90" s="20">
        <v>43888.0</v>
      </c>
      <c r="B90" s="21">
        <v>1477.0</v>
      </c>
      <c r="C90" s="16">
        <f t="shared" si="1"/>
        <v>1521</v>
      </c>
      <c r="D90" s="16">
        <f t="shared" si="4"/>
        <v>1477</v>
      </c>
      <c r="E90" s="16">
        <f t="shared" si="5"/>
        <v>1477</v>
      </c>
      <c r="F90" s="16">
        <f t="shared" si="2"/>
        <v>-44</v>
      </c>
      <c r="G90" s="16">
        <f t="shared" si="3"/>
        <v>1936</v>
      </c>
    </row>
    <row r="91">
      <c r="A91" s="20">
        <v>43889.0</v>
      </c>
      <c r="B91" s="21">
        <v>1370.0</v>
      </c>
      <c r="C91" s="16">
        <f t="shared" si="1"/>
        <v>1521</v>
      </c>
      <c r="D91" s="16">
        <f t="shared" si="4"/>
        <v>1458</v>
      </c>
      <c r="E91" s="16">
        <f t="shared" si="5"/>
        <v>1458</v>
      </c>
      <c r="F91" s="16">
        <f t="shared" si="2"/>
        <v>-151</v>
      </c>
      <c r="G91" s="16">
        <f t="shared" si="3"/>
        <v>22801</v>
      </c>
    </row>
    <row r="92">
      <c r="A92" s="20">
        <v>43890.0</v>
      </c>
      <c r="B92" s="21">
        <v>1458.0</v>
      </c>
      <c r="C92" s="16">
        <f t="shared" si="1"/>
        <v>1521</v>
      </c>
      <c r="D92" s="16">
        <f t="shared" si="4"/>
        <v>1458</v>
      </c>
      <c r="E92" s="16">
        <f t="shared" si="5"/>
        <v>1477</v>
      </c>
      <c r="F92" s="16">
        <f t="shared" si="2"/>
        <v>-63</v>
      </c>
      <c r="G92" s="16">
        <f t="shared" si="3"/>
        <v>3969</v>
      </c>
    </row>
    <row r="93">
      <c r="A93" s="20">
        <v>43891.0</v>
      </c>
      <c r="B93" s="21">
        <v>1527.0</v>
      </c>
      <c r="C93" s="16">
        <f t="shared" si="1"/>
        <v>1521</v>
      </c>
      <c r="D93" s="16">
        <f t="shared" si="4"/>
        <v>1458</v>
      </c>
      <c r="E93" s="16">
        <f t="shared" si="5"/>
        <v>1477</v>
      </c>
      <c r="F93" s="16">
        <f t="shared" si="2"/>
        <v>6</v>
      </c>
      <c r="G93" s="16">
        <f t="shared" si="3"/>
        <v>36</v>
      </c>
    </row>
    <row r="94">
      <c r="A94" s="20">
        <v>43892.0</v>
      </c>
      <c r="B94" s="21">
        <v>1308.0</v>
      </c>
      <c r="C94" s="16">
        <f t="shared" si="1"/>
        <v>1521</v>
      </c>
      <c r="D94" s="16">
        <f t="shared" si="4"/>
        <v>1527</v>
      </c>
      <c r="E94" s="16">
        <f t="shared" si="5"/>
        <v>1518</v>
      </c>
      <c r="F94" s="16">
        <f t="shared" si="2"/>
        <v>-213</v>
      </c>
      <c r="G94" s="16">
        <f t="shared" si="3"/>
        <v>45369</v>
      </c>
    </row>
    <row r="95">
      <c r="A95" s="20">
        <v>43893.0</v>
      </c>
      <c r="B95" s="21">
        <v>1549.0</v>
      </c>
      <c r="C95" s="16">
        <f t="shared" si="1"/>
        <v>1521</v>
      </c>
      <c r="D95" s="16">
        <f t="shared" si="4"/>
        <v>1518</v>
      </c>
      <c r="E95" s="16">
        <f t="shared" si="5"/>
        <v>1518</v>
      </c>
      <c r="F95" s="16">
        <f t="shared" si="2"/>
        <v>28</v>
      </c>
      <c r="G95" s="16">
        <f t="shared" si="3"/>
        <v>784</v>
      </c>
    </row>
    <row r="96">
      <c r="A96" s="20">
        <v>43894.0</v>
      </c>
      <c r="B96" s="21">
        <v>1518.0</v>
      </c>
      <c r="C96" s="16">
        <f t="shared" si="1"/>
        <v>1521</v>
      </c>
      <c r="D96" s="16">
        <f t="shared" si="4"/>
        <v>1549</v>
      </c>
      <c r="E96" s="16">
        <f t="shared" si="5"/>
        <v>1518</v>
      </c>
      <c r="F96" s="16">
        <f t="shared" si="2"/>
        <v>-3</v>
      </c>
      <c r="G96" s="16">
        <f t="shared" si="3"/>
        <v>9</v>
      </c>
    </row>
    <row r="97">
      <c r="A97" s="20">
        <v>43895.0</v>
      </c>
      <c r="B97" s="21">
        <v>1576.0</v>
      </c>
      <c r="C97" s="16">
        <f t="shared" si="1"/>
        <v>1521</v>
      </c>
      <c r="D97" s="16">
        <f t="shared" si="4"/>
        <v>1518</v>
      </c>
      <c r="E97" s="16">
        <f t="shared" si="5"/>
        <v>1518</v>
      </c>
      <c r="F97" s="16">
        <f t="shared" si="2"/>
        <v>55</v>
      </c>
      <c r="G97" s="16">
        <f t="shared" si="3"/>
        <v>3025</v>
      </c>
    </row>
    <row r="98">
      <c r="A98" s="20">
        <v>43896.0</v>
      </c>
      <c r="B98" s="21">
        <v>1425.5</v>
      </c>
      <c r="C98" s="16">
        <f t="shared" si="1"/>
        <v>1521</v>
      </c>
      <c r="D98" s="16">
        <f t="shared" si="4"/>
        <v>1425.5</v>
      </c>
      <c r="E98" s="16">
        <f t="shared" si="5"/>
        <v>1518</v>
      </c>
      <c r="F98" s="16">
        <f t="shared" si="2"/>
        <v>-95.5</v>
      </c>
      <c r="G98" s="16">
        <f t="shared" si="3"/>
        <v>9120.25</v>
      </c>
    </row>
    <row r="99">
      <c r="A99" s="20">
        <v>43897.0</v>
      </c>
      <c r="B99" s="21">
        <v>1275.0</v>
      </c>
      <c r="C99" s="16">
        <f t="shared" si="1"/>
        <v>1521</v>
      </c>
      <c r="D99" s="16">
        <f t="shared" si="4"/>
        <v>1425.5</v>
      </c>
      <c r="E99" s="16">
        <f t="shared" si="5"/>
        <v>1518</v>
      </c>
      <c r="F99" s="16">
        <f t="shared" si="2"/>
        <v>-246</v>
      </c>
      <c r="G99" s="16">
        <f t="shared" si="3"/>
        <v>60516</v>
      </c>
    </row>
    <row r="100">
      <c r="A100" s="20">
        <v>43898.0</v>
      </c>
      <c r="B100" s="21">
        <v>1687.0</v>
      </c>
      <c r="C100" s="16">
        <f t="shared" si="1"/>
        <v>1521</v>
      </c>
      <c r="D100" s="16">
        <f t="shared" si="4"/>
        <v>1275</v>
      </c>
      <c r="E100" s="16">
        <f t="shared" si="5"/>
        <v>1576</v>
      </c>
      <c r="F100" s="16">
        <f t="shared" si="2"/>
        <v>166</v>
      </c>
      <c r="G100" s="16">
        <f t="shared" si="3"/>
        <v>27556</v>
      </c>
    </row>
    <row r="101">
      <c r="A101" s="20">
        <v>43899.0</v>
      </c>
      <c r="B101" s="21">
        <v>1255.0</v>
      </c>
      <c r="C101" s="16">
        <f t="shared" si="1"/>
        <v>1521</v>
      </c>
      <c r="D101" s="16">
        <f t="shared" si="4"/>
        <v>1687</v>
      </c>
      <c r="E101" s="16">
        <f t="shared" si="5"/>
        <v>1656</v>
      </c>
      <c r="F101" s="16">
        <f t="shared" si="2"/>
        <v>-266</v>
      </c>
      <c r="G101" s="16">
        <f t="shared" si="3"/>
        <v>70756</v>
      </c>
    </row>
    <row r="102">
      <c r="A102" s="20">
        <v>43900.0</v>
      </c>
      <c r="B102" s="21">
        <v>1745.0</v>
      </c>
      <c r="C102" s="16">
        <f t="shared" si="1"/>
        <v>1521</v>
      </c>
      <c r="D102" s="16">
        <f t="shared" si="4"/>
        <v>1656</v>
      </c>
      <c r="E102" s="16">
        <f t="shared" si="5"/>
        <v>1676</v>
      </c>
      <c r="F102" s="16">
        <f t="shared" si="2"/>
        <v>224</v>
      </c>
      <c r="G102" s="16">
        <f t="shared" si="3"/>
        <v>50176</v>
      </c>
    </row>
    <row r="103">
      <c r="A103" s="20">
        <v>43901.0</v>
      </c>
      <c r="B103" s="21">
        <v>1656.0</v>
      </c>
      <c r="C103" s="16">
        <f t="shared" si="1"/>
        <v>1521</v>
      </c>
      <c r="D103" s="16">
        <f t="shared" si="4"/>
        <v>1676</v>
      </c>
      <c r="E103" s="16">
        <f t="shared" si="5"/>
        <v>1676</v>
      </c>
      <c r="F103" s="16">
        <f t="shared" si="2"/>
        <v>135</v>
      </c>
      <c r="G103" s="16">
        <f t="shared" si="3"/>
        <v>18225</v>
      </c>
    </row>
    <row r="104">
      <c r="A104" s="20">
        <v>43902.0</v>
      </c>
      <c r="B104" s="21">
        <v>1676.0</v>
      </c>
      <c r="C104" s="16">
        <f t="shared" si="1"/>
        <v>1521</v>
      </c>
      <c r="D104" s="16">
        <f t="shared" si="4"/>
        <v>1676</v>
      </c>
      <c r="E104" s="16">
        <f t="shared" si="5"/>
        <v>1656</v>
      </c>
      <c r="F104" s="16">
        <f t="shared" si="2"/>
        <v>155</v>
      </c>
      <c r="G104" s="16">
        <f t="shared" si="3"/>
        <v>24025</v>
      </c>
    </row>
    <row r="105">
      <c r="A105" s="20">
        <v>43903.0</v>
      </c>
      <c r="B105" s="21">
        <v>1699.0</v>
      </c>
      <c r="C105" s="16">
        <f t="shared" si="1"/>
        <v>1521</v>
      </c>
      <c r="D105" s="16">
        <f t="shared" si="4"/>
        <v>1676</v>
      </c>
      <c r="E105" s="16">
        <f t="shared" si="5"/>
        <v>1656</v>
      </c>
      <c r="F105" s="16">
        <f t="shared" si="2"/>
        <v>178</v>
      </c>
      <c r="G105" s="16">
        <f t="shared" si="3"/>
        <v>31684</v>
      </c>
    </row>
    <row r="106">
      <c r="A106" s="20">
        <v>43904.0</v>
      </c>
      <c r="B106" s="21">
        <v>1588.0</v>
      </c>
      <c r="C106" s="16">
        <f t="shared" si="1"/>
        <v>1521</v>
      </c>
      <c r="D106" s="16">
        <f t="shared" si="4"/>
        <v>1631</v>
      </c>
      <c r="E106" s="16">
        <f t="shared" si="5"/>
        <v>1631</v>
      </c>
      <c r="F106" s="16">
        <f t="shared" si="2"/>
        <v>67</v>
      </c>
      <c r="G106" s="16">
        <f t="shared" si="3"/>
        <v>4489</v>
      </c>
    </row>
    <row r="107">
      <c r="A107" s="20">
        <v>43905.0</v>
      </c>
      <c r="B107" s="21">
        <v>1631.0</v>
      </c>
      <c r="C107" s="16">
        <f t="shared" si="1"/>
        <v>1521</v>
      </c>
      <c r="D107" s="16">
        <f t="shared" si="4"/>
        <v>1588</v>
      </c>
      <c r="E107" s="16">
        <f t="shared" si="5"/>
        <v>1631</v>
      </c>
      <c r="F107" s="16">
        <f t="shared" si="2"/>
        <v>110</v>
      </c>
      <c r="G107" s="16">
        <f t="shared" si="3"/>
        <v>12100</v>
      </c>
    </row>
    <row r="108">
      <c r="A108" s="20">
        <v>43906.0</v>
      </c>
      <c r="B108" s="21">
        <v>1346.0</v>
      </c>
      <c r="C108" s="16">
        <f t="shared" si="1"/>
        <v>1521</v>
      </c>
      <c r="D108" s="16">
        <f t="shared" si="4"/>
        <v>1620</v>
      </c>
      <c r="E108" s="16">
        <f t="shared" si="5"/>
        <v>1620</v>
      </c>
      <c r="F108" s="16">
        <f t="shared" si="2"/>
        <v>-175</v>
      </c>
      <c r="G108" s="16">
        <f t="shared" si="3"/>
        <v>30625</v>
      </c>
    </row>
    <row r="109">
      <c r="A109" s="20">
        <v>43907.0</v>
      </c>
      <c r="B109" s="21">
        <v>1620.0</v>
      </c>
      <c r="C109" s="16">
        <f t="shared" si="1"/>
        <v>1521</v>
      </c>
      <c r="D109" s="16">
        <f t="shared" si="4"/>
        <v>1620</v>
      </c>
      <c r="E109" s="16">
        <f t="shared" si="5"/>
        <v>1620</v>
      </c>
      <c r="F109" s="16">
        <f t="shared" si="2"/>
        <v>99</v>
      </c>
      <c r="G109" s="16">
        <f t="shared" si="3"/>
        <v>9801</v>
      </c>
    </row>
    <row r="110">
      <c r="A110" s="20">
        <v>43908.0</v>
      </c>
      <c r="B110" s="21">
        <v>1783.0</v>
      </c>
      <c r="C110" s="16">
        <f t="shared" si="1"/>
        <v>1521</v>
      </c>
      <c r="D110" s="16">
        <f t="shared" si="4"/>
        <v>1620</v>
      </c>
      <c r="E110" s="16">
        <f t="shared" si="5"/>
        <v>1631</v>
      </c>
      <c r="F110" s="16">
        <f t="shared" si="2"/>
        <v>262</v>
      </c>
      <c r="G110" s="16">
        <f t="shared" si="3"/>
        <v>68644</v>
      </c>
    </row>
    <row r="111">
      <c r="A111" s="20">
        <v>43909.0</v>
      </c>
      <c r="B111" s="21">
        <v>1330.0</v>
      </c>
      <c r="C111" s="16">
        <f t="shared" si="1"/>
        <v>1521</v>
      </c>
      <c r="D111" s="16">
        <f t="shared" si="4"/>
        <v>1709</v>
      </c>
      <c r="E111" s="16">
        <f t="shared" si="5"/>
        <v>1620</v>
      </c>
      <c r="F111" s="16">
        <f t="shared" si="2"/>
        <v>-191</v>
      </c>
      <c r="G111" s="16">
        <f t="shared" si="3"/>
        <v>36481</v>
      </c>
    </row>
    <row r="112">
      <c r="A112" s="20">
        <v>43910.0</v>
      </c>
      <c r="B112" s="21">
        <v>1709.0</v>
      </c>
      <c r="C112" s="16">
        <f t="shared" si="1"/>
        <v>1521</v>
      </c>
      <c r="D112" s="16">
        <f t="shared" si="4"/>
        <v>1653</v>
      </c>
      <c r="E112" s="16">
        <f t="shared" si="5"/>
        <v>1620</v>
      </c>
      <c r="F112" s="16">
        <f t="shared" si="2"/>
        <v>188</v>
      </c>
      <c r="G112" s="16">
        <f t="shared" si="3"/>
        <v>35344</v>
      </c>
    </row>
    <row r="113">
      <c r="A113" s="20">
        <v>43911.0</v>
      </c>
      <c r="B113" s="21">
        <v>1653.0</v>
      </c>
      <c r="C113" s="16">
        <f t="shared" si="1"/>
        <v>1521</v>
      </c>
      <c r="D113" s="16">
        <f t="shared" si="4"/>
        <v>1653</v>
      </c>
      <c r="E113" s="16">
        <f t="shared" si="5"/>
        <v>1653</v>
      </c>
      <c r="F113" s="16">
        <f t="shared" si="2"/>
        <v>132</v>
      </c>
      <c r="G113" s="16">
        <f t="shared" si="3"/>
        <v>17424</v>
      </c>
    </row>
    <row r="114">
      <c r="A114" s="20">
        <v>43912.0</v>
      </c>
      <c r="B114" s="21">
        <v>1303.0</v>
      </c>
      <c r="C114" s="16">
        <f t="shared" si="1"/>
        <v>1521</v>
      </c>
      <c r="D114" s="16">
        <f t="shared" si="4"/>
        <v>1563</v>
      </c>
      <c r="E114" s="16">
        <f t="shared" si="5"/>
        <v>1563</v>
      </c>
      <c r="F114" s="16">
        <f t="shared" si="2"/>
        <v>-218</v>
      </c>
      <c r="G114" s="16">
        <f t="shared" si="3"/>
        <v>47524</v>
      </c>
    </row>
    <row r="115">
      <c r="A115" s="20">
        <v>43913.0</v>
      </c>
      <c r="B115" s="21">
        <v>1563.0</v>
      </c>
      <c r="C115" s="16">
        <f t="shared" si="1"/>
        <v>1521</v>
      </c>
      <c r="D115" s="16">
        <f t="shared" si="4"/>
        <v>1563</v>
      </c>
      <c r="E115" s="16">
        <f t="shared" si="5"/>
        <v>1653</v>
      </c>
      <c r="F115" s="16">
        <f t="shared" si="2"/>
        <v>42</v>
      </c>
      <c r="G115" s="16">
        <f t="shared" si="3"/>
        <v>1764</v>
      </c>
    </row>
    <row r="116">
      <c r="A116" s="20">
        <v>43914.0</v>
      </c>
      <c r="B116" s="21">
        <v>1685.0</v>
      </c>
      <c r="C116" s="16">
        <f t="shared" si="1"/>
        <v>1521</v>
      </c>
      <c r="D116" s="16">
        <f t="shared" si="4"/>
        <v>1563</v>
      </c>
      <c r="E116" s="16">
        <f t="shared" si="5"/>
        <v>1563</v>
      </c>
      <c r="F116" s="16">
        <f t="shared" si="2"/>
        <v>164</v>
      </c>
      <c r="G116" s="16">
        <f t="shared" si="3"/>
        <v>26896</v>
      </c>
    </row>
    <row r="117">
      <c r="A117" s="20">
        <v>43915.0</v>
      </c>
      <c r="B117" s="21">
        <v>1316.0</v>
      </c>
      <c r="C117" s="16">
        <f t="shared" si="1"/>
        <v>1521</v>
      </c>
      <c r="D117" s="16">
        <f t="shared" si="4"/>
        <v>1685</v>
      </c>
      <c r="E117" s="16">
        <f t="shared" si="5"/>
        <v>1375</v>
      </c>
      <c r="F117" s="16">
        <f t="shared" si="2"/>
        <v>-205</v>
      </c>
      <c r="G117" s="16">
        <f t="shared" si="3"/>
        <v>42025</v>
      </c>
    </row>
    <row r="118">
      <c r="A118" s="20">
        <v>43916.0</v>
      </c>
      <c r="B118" s="21">
        <v>1718.0</v>
      </c>
      <c r="C118" s="16">
        <f t="shared" si="1"/>
        <v>1521</v>
      </c>
      <c r="D118" s="16">
        <f t="shared" si="4"/>
        <v>1346</v>
      </c>
      <c r="E118" s="16">
        <f t="shared" si="5"/>
        <v>1514</v>
      </c>
      <c r="F118" s="16">
        <f t="shared" si="2"/>
        <v>197</v>
      </c>
      <c r="G118" s="16">
        <f t="shared" si="3"/>
        <v>38809</v>
      </c>
    </row>
    <row r="119">
      <c r="A119" s="20">
        <v>43917.0</v>
      </c>
      <c r="B119" s="21">
        <v>1346.0</v>
      </c>
      <c r="C119" s="16">
        <f t="shared" si="1"/>
        <v>1521</v>
      </c>
      <c r="D119" s="16">
        <f t="shared" si="4"/>
        <v>1375</v>
      </c>
      <c r="E119" s="16">
        <f t="shared" si="5"/>
        <v>1484</v>
      </c>
      <c r="F119" s="16">
        <f t="shared" si="2"/>
        <v>-175</v>
      </c>
      <c r="G119" s="16">
        <f t="shared" si="3"/>
        <v>30625</v>
      </c>
    </row>
    <row r="120">
      <c r="A120" s="20">
        <v>43918.0</v>
      </c>
      <c r="B120" s="21">
        <v>1375.0</v>
      </c>
      <c r="C120" s="16">
        <f t="shared" si="1"/>
        <v>1521</v>
      </c>
      <c r="D120" s="16">
        <f t="shared" si="4"/>
        <v>1375</v>
      </c>
      <c r="E120" s="16">
        <f t="shared" si="5"/>
        <v>1375</v>
      </c>
      <c r="F120" s="16">
        <f t="shared" si="2"/>
        <v>-146</v>
      </c>
      <c r="G120" s="16">
        <f t="shared" si="3"/>
        <v>21316</v>
      </c>
    </row>
    <row r="121">
      <c r="A121" s="20">
        <v>43919.0</v>
      </c>
      <c r="B121" s="21">
        <v>1514.0</v>
      </c>
      <c r="C121" s="16">
        <f t="shared" si="1"/>
        <v>1521</v>
      </c>
      <c r="D121" s="16">
        <f t="shared" si="4"/>
        <v>1484</v>
      </c>
      <c r="E121" s="16">
        <f t="shared" si="5"/>
        <v>1445</v>
      </c>
      <c r="F121" s="16">
        <f t="shared" si="2"/>
        <v>-7</v>
      </c>
      <c r="G121" s="16">
        <f t="shared" si="3"/>
        <v>49</v>
      </c>
    </row>
    <row r="122">
      <c r="A122" s="20">
        <v>43920.0</v>
      </c>
      <c r="B122" s="21">
        <v>1484.0</v>
      </c>
      <c r="C122" s="16">
        <f t="shared" si="1"/>
        <v>1521</v>
      </c>
      <c r="D122" s="16">
        <f t="shared" si="4"/>
        <v>1484</v>
      </c>
      <c r="E122" s="16">
        <f t="shared" si="5"/>
        <v>1445</v>
      </c>
      <c r="F122" s="16">
        <f t="shared" si="2"/>
        <v>-37</v>
      </c>
      <c r="G122" s="16">
        <f t="shared" si="3"/>
        <v>1369</v>
      </c>
    </row>
    <row r="123">
      <c r="A123" s="20">
        <v>43921.0</v>
      </c>
      <c r="B123" s="21">
        <v>1314.0</v>
      </c>
      <c r="C123" s="16">
        <f t="shared" si="1"/>
        <v>1521</v>
      </c>
      <c r="D123" s="16">
        <f t="shared" si="4"/>
        <v>1445</v>
      </c>
      <c r="E123" s="16">
        <f t="shared" si="5"/>
        <v>1445</v>
      </c>
      <c r="F123" s="16">
        <f t="shared" si="2"/>
        <v>-207</v>
      </c>
      <c r="G123" s="16">
        <f t="shared" si="3"/>
        <v>42849</v>
      </c>
    </row>
    <row r="124">
      <c r="A124" s="20">
        <v>43922.0</v>
      </c>
      <c r="B124" s="21">
        <v>1445.0</v>
      </c>
      <c r="C124" s="16">
        <f t="shared" si="1"/>
        <v>1521</v>
      </c>
      <c r="D124" s="16">
        <f t="shared" si="4"/>
        <v>1445</v>
      </c>
      <c r="E124" s="16">
        <f t="shared" si="5"/>
        <v>1458</v>
      </c>
      <c r="F124" s="16">
        <f t="shared" si="2"/>
        <v>-76</v>
      </c>
      <c r="G124" s="16">
        <f t="shared" si="3"/>
        <v>5776</v>
      </c>
    </row>
    <row r="125">
      <c r="A125" s="20">
        <v>43923.0</v>
      </c>
      <c r="B125" s="21">
        <v>1490.0</v>
      </c>
      <c r="C125" s="16">
        <f t="shared" si="1"/>
        <v>1521</v>
      </c>
      <c r="D125" s="16">
        <f t="shared" si="4"/>
        <v>1445</v>
      </c>
      <c r="E125" s="16">
        <f t="shared" si="5"/>
        <v>1445</v>
      </c>
      <c r="F125" s="16">
        <f t="shared" si="2"/>
        <v>-31</v>
      </c>
      <c r="G125" s="16">
        <f t="shared" si="3"/>
        <v>961</v>
      </c>
    </row>
    <row r="126">
      <c r="A126" s="20">
        <v>43924.0</v>
      </c>
      <c r="B126" s="21">
        <v>1332.0</v>
      </c>
      <c r="C126" s="16">
        <f t="shared" si="1"/>
        <v>1521</v>
      </c>
      <c r="D126" s="16">
        <f t="shared" si="4"/>
        <v>1458</v>
      </c>
      <c r="E126" s="16">
        <f t="shared" si="5"/>
        <v>1445</v>
      </c>
      <c r="F126" s="16">
        <f t="shared" si="2"/>
        <v>-189</v>
      </c>
      <c r="G126" s="16">
        <f t="shared" si="3"/>
        <v>35721</v>
      </c>
    </row>
    <row r="127">
      <c r="A127" s="20">
        <v>43925.0</v>
      </c>
      <c r="B127" s="21">
        <v>1458.0</v>
      </c>
      <c r="C127" s="16">
        <f t="shared" si="1"/>
        <v>1521</v>
      </c>
      <c r="D127" s="16">
        <f t="shared" si="4"/>
        <v>1332</v>
      </c>
      <c r="E127" s="16">
        <f t="shared" si="5"/>
        <v>1450</v>
      </c>
      <c r="F127" s="16">
        <f t="shared" si="2"/>
        <v>-63</v>
      </c>
      <c r="G127" s="16">
        <f t="shared" si="3"/>
        <v>3969</v>
      </c>
    </row>
    <row r="128">
      <c r="A128" s="20">
        <v>43926.0</v>
      </c>
      <c r="B128" s="21">
        <v>1305.0</v>
      </c>
      <c r="C128" s="16">
        <f t="shared" si="1"/>
        <v>1521</v>
      </c>
      <c r="D128" s="16">
        <f t="shared" si="4"/>
        <v>1458</v>
      </c>
      <c r="E128" s="16">
        <f t="shared" si="5"/>
        <v>1458</v>
      </c>
      <c r="F128" s="16">
        <f t="shared" si="2"/>
        <v>-216</v>
      </c>
      <c r="G128" s="16">
        <f t="shared" si="3"/>
        <v>46656</v>
      </c>
    </row>
    <row r="129">
      <c r="A129" s="20">
        <v>43927.0</v>
      </c>
      <c r="B129" s="21">
        <v>1476.0</v>
      </c>
      <c r="C129" s="16">
        <f t="shared" si="1"/>
        <v>1521</v>
      </c>
      <c r="D129" s="16">
        <f t="shared" si="4"/>
        <v>1450</v>
      </c>
      <c r="E129" s="16">
        <f t="shared" si="5"/>
        <v>1450</v>
      </c>
      <c r="F129" s="16">
        <f t="shared" si="2"/>
        <v>-45</v>
      </c>
      <c r="G129" s="16">
        <f t="shared" si="3"/>
        <v>2025</v>
      </c>
    </row>
    <row r="130">
      <c r="A130" s="20">
        <v>43928.0</v>
      </c>
      <c r="B130" s="21">
        <v>1450.0</v>
      </c>
      <c r="C130" s="16">
        <f t="shared" si="1"/>
        <v>1521</v>
      </c>
      <c r="D130" s="16">
        <f t="shared" si="4"/>
        <v>1476</v>
      </c>
      <c r="E130" s="16">
        <f t="shared" si="5"/>
        <v>1450</v>
      </c>
      <c r="F130" s="16">
        <f t="shared" si="2"/>
        <v>-71</v>
      </c>
      <c r="G130" s="16">
        <f t="shared" si="3"/>
        <v>5041</v>
      </c>
    </row>
    <row r="131">
      <c r="A131" s="20">
        <v>43929.0</v>
      </c>
      <c r="B131" s="21">
        <v>1614.0</v>
      </c>
      <c r="C131" s="16">
        <f t="shared" si="1"/>
        <v>1521</v>
      </c>
      <c r="D131" s="16">
        <f t="shared" si="4"/>
        <v>1450</v>
      </c>
      <c r="E131" s="16">
        <f t="shared" si="5"/>
        <v>1430</v>
      </c>
      <c r="F131" s="16">
        <f t="shared" si="2"/>
        <v>93</v>
      </c>
      <c r="G131" s="16">
        <f t="shared" si="3"/>
        <v>8649</v>
      </c>
    </row>
    <row r="132">
      <c r="A132" s="20">
        <v>43930.0</v>
      </c>
      <c r="B132" s="21">
        <v>1427.0</v>
      </c>
      <c r="C132" s="16">
        <f t="shared" si="1"/>
        <v>1521</v>
      </c>
      <c r="D132" s="16">
        <f t="shared" si="4"/>
        <v>1430</v>
      </c>
      <c r="E132" s="16">
        <f t="shared" si="5"/>
        <v>1450</v>
      </c>
      <c r="F132" s="16">
        <f t="shared" si="2"/>
        <v>-94</v>
      </c>
      <c r="G132" s="16">
        <f t="shared" si="3"/>
        <v>8836</v>
      </c>
    </row>
    <row r="133">
      <c r="A133" s="20">
        <v>43931.0</v>
      </c>
      <c r="B133" s="21">
        <v>1430.0</v>
      </c>
      <c r="C133" s="16">
        <f t="shared" si="1"/>
        <v>1521</v>
      </c>
      <c r="D133" s="16">
        <f t="shared" si="4"/>
        <v>1427</v>
      </c>
      <c r="E133" s="16">
        <f t="shared" si="5"/>
        <v>1430</v>
      </c>
      <c r="F133" s="16">
        <f t="shared" si="2"/>
        <v>-91</v>
      </c>
      <c r="G133" s="16">
        <f t="shared" si="3"/>
        <v>8281</v>
      </c>
    </row>
    <row r="134">
      <c r="A134" s="20">
        <v>43932.0</v>
      </c>
      <c r="B134" s="21">
        <v>1400.0</v>
      </c>
      <c r="C134" s="16">
        <f t="shared" si="1"/>
        <v>1521</v>
      </c>
      <c r="D134" s="16">
        <f t="shared" si="4"/>
        <v>1430</v>
      </c>
      <c r="E134" s="16">
        <f t="shared" si="5"/>
        <v>1430</v>
      </c>
      <c r="F134" s="16">
        <f t="shared" si="2"/>
        <v>-121</v>
      </c>
      <c r="G134" s="16">
        <f t="shared" si="3"/>
        <v>14641</v>
      </c>
    </row>
    <row r="135">
      <c r="A135" s="20">
        <v>43933.0</v>
      </c>
      <c r="B135" s="21">
        <v>1587.0</v>
      </c>
      <c r="C135" s="16">
        <f t="shared" si="1"/>
        <v>1521</v>
      </c>
      <c r="D135" s="16">
        <f t="shared" si="4"/>
        <v>1402</v>
      </c>
      <c r="E135" s="16">
        <f t="shared" si="5"/>
        <v>1430</v>
      </c>
      <c r="F135" s="16">
        <f t="shared" si="2"/>
        <v>66</v>
      </c>
      <c r="G135" s="16">
        <f t="shared" si="3"/>
        <v>4356</v>
      </c>
    </row>
    <row r="136">
      <c r="A136" s="20">
        <v>43934.0</v>
      </c>
      <c r="B136" s="21">
        <v>1402.0</v>
      </c>
      <c r="C136" s="16">
        <f t="shared" si="1"/>
        <v>1521</v>
      </c>
      <c r="D136" s="16">
        <f t="shared" si="4"/>
        <v>1469</v>
      </c>
      <c r="E136" s="16">
        <f t="shared" si="5"/>
        <v>1430</v>
      </c>
      <c r="F136" s="16">
        <f t="shared" si="2"/>
        <v>-119</v>
      </c>
      <c r="G136" s="16">
        <f t="shared" si="3"/>
        <v>14161</v>
      </c>
    </row>
    <row r="137">
      <c r="A137" s="20">
        <v>43935.0</v>
      </c>
      <c r="B137" s="21">
        <v>1469.0</v>
      </c>
      <c r="C137" s="16">
        <f t="shared" si="1"/>
        <v>1521</v>
      </c>
      <c r="D137" s="16">
        <f t="shared" si="4"/>
        <v>1445</v>
      </c>
      <c r="E137" s="16">
        <f t="shared" si="5"/>
        <v>1436</v>
      </c>
      <c r="F137" s="16">
        <f t="shared" si="2"/>
        <v>-52</v>
      </c>
      <c r="G137" s="16">
        <f t="shared" si="3"/>
        <v>2704</v>
      </c>
    </row>
    <row r="138">
      <c r="A138" s="20">
        <v>43936.0</v>
      </c>
      <c r="B138" s="21">
        <v>1445.0</v>
      </c>
      <c r="C138" s="16">
        <f t="shared" si="1"/>
        <v>1521</v>
      </c>
      <c r="D138" s="16">
        <f t="shared" si="4"/>
        <v>1445</v>
      </c>
      <c r="E138" s="16">
        <f t="shared" si="5"/>
        <v>1436</v>
      </c>
      <c r="F138" s="16">
        <f t="shared" si="2"/>
        <v>-76</v>
      </c>
      <c r="G138" s="16">
        <f t="shared" si="3"/>
        <v>5776</v>
      </c>
    </row>
    <row r="139">
      <c r="A139" s="20">
        <v>43937.0</v>
      </c>
      <c r="B139" s="21">
        <v>1421.0</v>
      </c>
      <c r="C139" s="16">
        <f t="shared" si="1"/>
        <v>1521</v>
      </c>
      <c r="D139" s="16">
        <f t="shared" si="4"/>
        <v>1436</v>
      </c>
      <c r="E139" s="16">
        <f t="shared" si="5"/>
        <v>1432</v>
      </c>
      <c r="F139" s="16">
        <f t="shared" si="2"/>
        <v>-100</v>
      </c>
      <c r="G139" s="16">
        <f t="shared" si="3"/>
        <v>10000</v>
      </c>
    </row>
    <row r="140">
      <c r="A140" s="20">
        <v>43938.0</v>
      </c>
      <c r="B140" s="21">
        <v>1436.0</v>
      </c>
      <c r="C140" s="16">
        <f t="shared" si="1"/>
        <v>1521</v>
      </c>
      <c r="D140" s="16">
        <f t="shared" si="4"/>
        <v>1421</v>
      </c>
      <c r="E140" s="16">
        <f t="shared" si="5"/>
        <v>1436</v>
      </c>
      <c r="F140" s="16">
        <f t="shared" si="2"/>
        <v>-85</v>
      </c>
      <c r="G140" s="16">
        <f t="shared" si="3"/>
        <v>7225</v>
      </c>
    </row>
    <row r="141">
      <c r="A141" s="20">
        <v>43939.0</v>
      </c>
      <c r="B141" s="21">
        <v>1312.0</v>
      </c>
      <c r="C141" s="16">
        <f t="shared" si="1"/>
        <v>1521</v>
      </c>
      <c r="D141" s="16">
        <f t="shared" si="4"/>
        <v>1432</v>
      </c>
      <c r="E141" s="16">
        <f t="shared" si="5"/>
        <v>1432</v>
      </c>
      <c r="F141" s="16">
        <f t="shared" si="2"/>
        <v>-209</v>
      </c>
      <c r="G141" s="16">
        <f t="shared" si="3"/>
        <v>43681</v>
      </c>
    </row>
    <row r="142">
      <c r="A142" s="20">
        <v>43940.0</v>
      </c>
      <c r="B142" s="21">
        <v>1432.0</v>
      </c>
      <c r="C142" s="16">
        <f t="shared" si="1"/>
        <v>1521</v>
      </c>
      <c r="D142" s="16">
        <f t="shared" si="4"/>
        <v>1432</v>
      </c>
      <c r="E142" s="16">
        <f t="shared" si="5"/>
        <v>1432</v>
      </c>
      <c r="F142" s="16">
        <f t="shared" si="2"/>
        <v>-89</v>
      </c>
      <c r="G142" s="16">
        <f t="shared" si="3"/>
        <v>7921</v>
      </c>
    </row>
    <row r="143">
      <c r="A143" s="20">
        <v>43941.0</v>
      </c>
      <c r="B143" s="21">
        <v>1780.0</v>
      </c>
      <c r="C143" s="16">
        <f t="shared" si="1"/>
        <v>1521</v>
      </c>
      <c r="D143" s="16">
        <f t="shared" si="4"/>
        <v>1432</v>
      </c>
      <c r="E143" s="16">
        <f t="shared" si="5"/>
        <v>1436</v>
      </c>
      <c r="F143" s="16">
        <f t="shared" si="2"/>
        <v>259</v>
      </c>
      <c r="G143" s="16">
        <f t="shared" si="3"/>
        <v>67081</v>
      </c>
    </row>
    <row r="144">
      <c r="A144" s="20">
        <v>43942.0</v>
      </c>
      <c r="B144" s="21">
        <v>1355.0</v>
      </c>
      <c r="C144" s="16">
        <f t="shared" si="1"/>
        <v>1521</v>
      </c>
      <c r="D144" s="16">
        <f t="shared" si="4"/>
        <v>1476</v>
      </c>
      <c r="E144" s="16">
        <f t="shared" si="5"/>
        <v>1452</v>
      </c>
      <c r="F144" s="16">
        <f t="shared" si="2"/>
        <v>-166</v>
      </c>
      <c r="G144" s="16">
        <f t="shared" si="3"/>
        <v>27556</v>
      </c>
    </row>
    <row r="145">
      <c r="A145" s="20">
        <v>43943.0</v>
      </c>
      <c r="B145" s="21">
        <v>1476.0</v>
      </c>
      <c r="C145" s="16">
        <f t="shared" si="1"/>
        <v>1521</v>
      </c>
      <c r="D145" s="16">
        <f t="shared" si="4"/>
        <v>1452</v>
      </c>
      <c r="E145" s="16">
        <f t="shared" si="5"/>
        <v>1476</v>
      </c>
      <c r="F145" s="16">
        <f t="shared" si="2"/>
        <v>-45</v>
      </c>
      <c r="G145" s="16">
        <f t="shared" si="3"/>
        <v>2025</v>
      </c>
    </row>
    <row r="146">
      <c r="A146" s="20">
        <v>43944.0</v>
      </c>
      <c r="B146" s="21">
        <v>1452.0</v>
      </c>
      <c r="C146" s="16">
        <f t="shared" si="1"/>
        <v>1521</v>
      </c>
      <c r="D146" s="16">
        <f t="shared" si="4"/>
        <v>1476</v>
      </c>
      <c r="E146" s="16">
        <f t="shared" si="5"/>
        <v>1485</v>
      </c>
      <c r="F146" s="16">
        <f t="shared" si="2"/>
        <v>-69</v>
      </c>
      <c r="G146" s="16">
        <f t="shared" si="3"/>
        <v>4761</v>
      </c>
    </row>
    <row r="147">
      <c r="A147" s="20">
        <v>43945.0</v>
      </c>
      <c r="B147" s="21">
        <v>1617.0</v>
      </c>
      <c r="C147" s="16">
        <f t="shared" si="1"/>
        <v>1521</v>
      </c>
      <c r="D147" s="16">
        <f t="shared" si="4"/>
        <v>1617</v>
      </c>
      <c r="E147" s="16">
        <f t="shared" si="5"/>
        <v>1485</v>
      </c>
      <c r="F147" s="16">
        <f t="shared" si="2"/>
        <v>96</v>
      </c>
      <c r="G147" s="16">
        <f t="shared" si="3"/>
        <v>9216</v>
      </c>
    </row>
    <row r="148">
      <c r="A148" s="20">
        <v>43946.0</v>
      </c>
      <c r="B148" s="21">
        <v>1696.0</v>
      </c>
      <c r="C148" s="16">
        <f t="shared" si="1"/>
        <v>1521</v>
      </c>
      <c r="D148" s="16">
        <f t="shared" si="4"/>
        <v>1617</v>
      </c>
      <c r="E148" s="16">
        <f t="shared" si="5"/>
        <v>1617</v>
      </c>
      <c r="F148" s="16">
        <f t="shared" si="2"/>
        <v>175</v>
      </c>
      <c r="G148" s="16">
        <f t="shared" si="3"/>
        <v>30625</v>
      </c>
    </row>
    <row r="149">
      <c r="A149" s="20">
        <v>43947.0</v>
      </c>
      <c r="B149" s="21">
        <v>1485.0</v>
      </c>
      <c r="C149" s="16">
        <f t="shared" si="1"/>
        <v>1521</v>
      </c>
      <c r="D149" s="16">
        <f t="shared" si="4"/>
        <v>1682</v>
      </c>
      <c r="E149" s="16">
        <f t="shared" si="5"/>
        <v>1617</v>
      </c>
      <c r="F149" s="16">
        <f t="shared" si="2"/>
        <v>-36</v>
      </c>
      <c r="G149" s="16">
        <f t="shared" si="3"/>
        <v>1296</v>
      </c>
    </row>
    <row r="150">
      <c r="A150" s="20">
        <v>43948.0</v>
      </c>
      <c r="B150" s="21">
        <v>1682.0</v>
      </c>
      <c r="C150" s="16">
        <f t="shared" si="1"/>
        <v>1521</v>
      </c>
      <c r="D150" s="16">
        <f t="shared" si="4"/>
        <v>1682</v>
      </c>
      <c r="E150" s="16">
        <f t="shared" si="5"/>
        <v>1657</v>
      </c>
      <c r="F150" s="16">
        <f t="shared" si="2"/>
        <v>161</v>
      </c>
      <c r="G150" s="16">
        <f t="shared" si="3"/>
        <v>25921</v>
      </c>
    </row>
    <row r="151">
      <c r="A151" s="20">
        <v>43949.0</v>
      </c>
      <c r="B151" s="21">
        <v>1683.0</v>
      </c>
      <c r="C151" s="16">
        <f t="shared" si="1"/>
        <v>1521</v>
      </c>
      <c r="D151" s="16">
        <f t="shared" si="4"/>
        <v>1682</v>
      </c>
      <c r="E151" s="16">
        <f t="shared" si="5"/>
        <v>1682</v>
      </c>
      <c r="F151" s="16">
        <f t="shared" si="2"/>
        <v>162</v>
      </c>
      <c r="G151" s="16">
        <f t="shared" si="3"/>
        <v>26244</v>
      </c>
    </row>
    <row r="152">
      <c r="A152" s="20">
        <v>43950.0</v>
      </c>
      <c r="B152" s="21">
        <v>1420.0</v>
      </c>
      <c r="C152" s="16">
        <f t="shared" si="1"/>
        <v>1521</v>
      </c>
      <c r="D152" s="16">
        <f t="shared" si="4"/>
        <v>1657</v>
      </c>
      <c r="E152" s="16">
        <f t="shared" si="5"/>
        <v>1657</v>
      </c>
      <c r="F152" s="16">
        <f t="shared" si="2"/>
        <v>-101</v>
      </c>
      <c r="G152" s="16">
        <f t="shared" si="3"/>
        <v>10201</v>
      </c>
    </row>
    <row r="153">
      <c r="A153" s="20">
        <v>43951.0</v>
      </c>
      <c r="B153" s="21">
        <v>1657.0</v>
      </c>
      <c r="C153" s="16">
        <f t="shared" si="1"/>
        <v>1521</v>
      </c>
      <c r="D153" s="16">
        <f t="shared" si="4"/>
        <v>1657</v>
      </c>
      <c r="E153" s="16">
        <f t="shared" si="5"/>
        <v>1682</v>
      </c>
      <c r="F153" s="16">
        <f t="shared" si="2"/>
        <v>136</v>
      </c>
      <c r="G153" s="16">
        <f t="shared" si="3"/>
        <v>18496</v>
      </c>
    </row>
    <row r="154">
      <c r="A154" s="20">
        <v>43952.0</v>
      </c>
      <c r="B154" s="21">
        <v>1746.0</v>
      </c>
      <c r="C154" s="16">
        <f t="shared" si="1"/>
        <v>1521</v>
      </c>
      <c r="D154" s="16">
        <f t="shared" si="4"/>
        <v>1657</v>
      </c>
      <c r="E154" s="16">
        <f t="shared" si="5"/>
        <v>1683</v>
      </c>
      <c r="F154" s="16">
        <f t="shared" si="2"/>
        <v>225</v>
      </c>
      <c r="G154" s="16">
        <f t="shared" si="3"/>
        <v>50625</v>
      </c>
    </row>
    <row r="155">
      <c r="A155" s="20">
        <v>43953.0</v>
      </c>
      <c r="B155" s="21">
        <v>1612.0</v>
      </c>
      <c r="C155" s="16">
        <f t="shared" si="1"/>
        <v>1521</v>
      </c>
      <c r="D155" s="16">
        <f t="shared" si="4"/>
        <v>1746</v>
      </c>
      <c r="E155" s="16">
        <f t="shared" si="5"/>
        <v>1657</v>
      </c>
      <c r="F155" s="16">
        <f t="shared" si="2"/>
        <v>91</v>
      </c>
      <c r="G155" s="16">
        <f t="shared" si="3"/>
        <v>8281</v>
      </c>
    </row>
    <row r="156">
      <c r="A156" s="20">
        <v>43954.0</v>
      </c>
      <c r="B156" s="21">
        <v>1760.0</v>
      </c>
      <c r="C156" s="16">
        <f t="shared" si="1"/>
        <v>1521</v>
      </c>
      <c r="D156" s="16">
        <f t="shared" si="4"/>
        <v>1751</v>
      </c>
      <c r="E156" s="16">
        <f t="shared" si="5"/>
        <v>1746</v>
      </c>
      <c r="F156" s="16">
        <f t="shared" si="2"/>
        <v>239</v>
      </c>
      <c r="G156" s="16">
        <f t="shared" si="3"/>
        <v>57121</v>
      </c>
    </row>
    <row r="157">
      <c r="A157" s="20">
        <v>43955.0</v>
      </c>
      <c r="B157" s="21">
        <v>1751.0</v>
      </c>
      <c r="C157" s="16">
        <f t="shared" si="1"/>
        <v>1521</v>
      </c>
      <c r="D157" s="16">
        <f t="shared" si="4"/>
        <v>1751</v>
      </c>
      <c r="E157" s="16">
        <f t="shared" si="5"/>
        <v>1746</v>
      </c>
      <c r="F157" s="16">
        <f t="shared" si="2"/>
        <v>230</v>
      </c>
      <c r="G157" s="16">
        <f t="shared" si="3"/>
        <v>52900</v>
      </c>
    </row>
    <row r="158">
      <c r="A158" s="20">
        <v>43956.0</v>
      </c>
      <c r="B158" s="21">
        <v>1487.0</v>
      </c>
      <c r="C158" s="16">
        <f t="shared" si="1"/>
        <v>1521</v>
      </c>
      <c r="D158" s="16">
        <f t="shared" si="4"/>
        <v>1751</v>
      </c>
      <c r="E158" s="16">
        <f t="shared" si="5"/>
        <v>1722</v>
      </c>
      <c r="F158" s="16">
        <f t="shared" si="2"/>
        <v>-34</v>
      </c>
      <c r="G158" s="16">
        <f t="shared" si="3"/>
        <v>1156</v>
      </c>
    </row>
    <row r="159">
      <c r="A159" s="20">
        <v>43957.0</v>
      </c>
      <c r="B159" s="21">
        <v>1784.0</v>
      </c>
      <c r="C159" s="16">
        <f t="shared" si="1"/>
        <v>1521</v>
      </c>
      <c r="D159" s="16">
        <f t="shared" si="4"/>
        <v>1487</v>
      </c>
      <c r="E159" s="16">
        <f t="shared" si="5"/>
        <v>1751</v>
      </c>
      <c r="F159" s="16">
        <f t="shared" si="2"/>
        <v>263</v>
      </c>
      <c r="G159" s="16">
        <f t="shared" si="3"/>
        <v>69169</v>
      </c>
    </row>
    <row r="160">
      <c r="A160" s="20">
        <v>43958.0</v>
      </c>
      <c r="B160" s="21">
        <v>1380.0</v>
      </c>
      <c r="C160" s="16">
        <f t="shared" si="1"/>
        <v>1521</v>
      </c>
      <c r="D160" s="16">
        <f t="shared" si="4"/>
        <v>1722</v>
      </c>
      <c r="E160" s="16">
        <f t="shared" si="5"/>
        <v>1733</v>
      </c>
      <c r="F160" s="16">
        <f t="shared" si="2"/>
        <v>-141</v>
      </c>
      <c r="G160" s="16">
        <f t="shared" si="3"/>
        <v>19881</v>
      </c>
    </row>
    <row r="161">
      <c r="A161" s="20">
        <v>43959.0</v>
      </c>
      <c r="B161" s="21">
        <v>1722.0</v>
      </c>
      <c r="C161" s="16">
        <f t="shared" si="1"/>
        <v>1521</v>
      </c>
      <c r="D161" s="16">
        <f t="shared" si="4"/>
        <v>1722</v>
      </c>
      <c r="E161" s="16">
        <f t="shared" si="5"/>
        <v>1722</v>
      </c>
      <c r="F161" s="16">
        <f t="shared" si="2"/>
        <v>201</v>
      </c>
      <c r="G161" s="16">
        <f t="shared" si="3"/>
        <v>40401</v>
      </c>
    </row>
    <row r="162">
      <c r="A162" s="20">
        <v>43960.0</v>
      </c>
      <c r="B162" s="21">
        <v>1758.0</v>
      </c>
      <c r="C162" s="16">
        <f t="shared" si="1"/>
        <v>1521</v>
      </c>
      <c r="D162" s="16">
        <f t="shared" si="4"/>
        <v>1733</v>
      </c>
      <c r="E162" s="16">
        <f t="shared" si="5"/>
        <v>1722</v>
      </c>
      <c r="F162" s="16">
        <f t="shared" si="2"/>
        <v>237</v>
      </c>
      <c r="G162" s="16">
        <f t="shared" si="3"/>
        <v>56169</v>
      </c>
    </row>
    <row r="163">
      <c r="A163" s="20">
        <v>43961.0</v>
      </c>
      <c r="B163" s="21">
        <v>1733.0</v>
      </c>
      <c r="C163" s="16">
        <f t="shared" si="1"/>
        <v>1521</v>
      </c>
      <c r="D163" s="16">
        <f t="shared" si="4"/>
        <v>1733</v>
      </c>
      <c r="E163" s="16">
        <f t="shared" si="5"/>
        <v>1712</v>
      </c>
      <c r="F163" s="16">
        <f t="shared" si="2"/>
        <v>212</v>
      </c>
      <c r="G163" s="16">
        <f t="shared" si="3"/>
        <v>44944</v>
      </c>
    </row>
    <row r="164">
      <c r="A164" s="20">
        <v>43962.0</v>
      </c>
      <c r="B164" s="21">
        <v>1712.0</v>
      </c>
      <c r="C164" s="16">
        <f t="shared" si="1"/>
        <v>1521</v>
      </c>
      <c r="D164" s="16">
        <f t="shared" si="4"/>
        <v>1712</v>
      </c>
      <c r="E164" s="16">
        <f t="shared" si="5"/>
        <v>1712</v>
      </c>
      <c r="F164" s="16">
        <f t="shared" si="2"/>
        <v>191</v>
      </c>
      <c r="G164" s="16">
        <f t="shared" si="3"/>
        <v>36481</v>
      </c>
    </row>
    <row r="165">
      <c r="A165" s="20">
        <v>43963.0</v>
      </c>
      <c r="B165" s="21">
        <v>1560.0</v>
      </c>
      <c r="C165" s="16">
        <f t="shared" si="1"/>
        <v>1521</v>
      </c>
      <c r="D165" s="16">
        <f t="shared" si="4"/>
        <v>1560</v>
      </c>
      <c r="E165" s="16">
        <f t="shared" si="5"/>
        <v>1680</v>
      </c>
      <c r="F165" s="16">
        <f t="shared" si="2"/>
        <v>39</v>
      </c>
      <c r="G165" s="16">
        <f t="shared" si="3"/>
        <v>1521</v>
      </c>
    </row>
    <row r="166">
      <c r="A166" s="20">
        <v>43964.0</v>
      </c>
      <c r="B166" s="21">
        <v>1540.0</v>
      </c>
      <c r="C166" s="16">
        <f t="shared" si="1"/>
        <v>1521</v>
      </c>
      <c r="D166" s="16">
        <f t="shared" si="4"/>
        <v>1560</v>
      </c>
      <c r="E166" s="16">
        <f t="shared" si="5"/>
        <v>1626</v>
      </c>
      <c r="F166" s="16">
        <f t="shared" si="2"/>
        <v>19</v>
      </c>
      <c r="G166" s="16">
        <f t="shared" si="3"/>
        <v>361</v>
      </c>
    </row>
    <row r="167">
      <c r="A167" s="20">
        <v>43965.0</v>
      </c>
      <c r="B167" s="21">
        <v>1680.0</v>
      </c>
      <c r="C167" s="16">
        <f t="shared" si="1"/>
        <v>1521</v>
      </c>
      <c r="D167" s="16">
        <f t="shared" si="4"/>
        <v>1540</v>
      </c>
      <c r="E167" s="16">
        <f t="shared" si="5"/>
        <v>1626</v>
      </c>
      <c r="F167" s="16">
        <f t="shared" si="2"/>
        <v>159</v>
      </c>
      <c r="G167" s="16">
        <f t="shared" si="3"/>
        <v>25281</v>
      </c>
    </row>
    <row r="168">
      <c r="A168" s="20">
        <v>43966.0</v>
      </c>
      <c r="B168" s="21">
        <v>1493.0</v>
      </c>
      <c r="C168" s="16">
        <f t="shared" si="1"/>
        <v>1521</v>
      </c>
      <c r="D168" s="16">
        <f t="shared" si="4"/>
        <v>1626</v>
      </c>
      <c r="E168" s="16">
        <f t="shared" si="5"/>
        <v>1560</v>
      </c>
      <c r="F168" s="16">
        <f t="shared" si="2"/>
        <v>-28</v>
      </c>
      <c r="G168" s="16">
        <f t="shared" si="3"/>
        <v>784</v>
      </c>
    </row>
    <row r="169">
      <c r="A169" s="20">
        <v>43967.0</v>
      </c>
      <c r="B169" s="21">
        <v>1626.0</v>
      </c>
      <c r="C169" s="16">
        <f t="shared" si="1"/>
        <v>1521</v>
      </c>
      <c r="D169" s="16">
        <f t="shared" si="4"/>
        <v>1626</v>
      </c>
      <c r="E169" s="16">
        <f t="shared" si="5"/>
        <v>1540</v>
      </c>
      <c r="F169" s="16">
        <f t="shared" si="2"/>
        <v>105</v>
      </c>
      <c r="G169" s="16">
        <f t="shared" si="3"/>
        <v>11025</v>
      </c>
    </row>
    <row r="170">
      <c r="A170" s="20">
        <v>43968.0</v>
      </c>
      <c r="B170" s="21">
        <v>1803.0</v>
      </c>
      <c r="C170" s="16">
        <f t="shared" si="1"/>
        <v>1521</v>
      </c>
      <c r="D170" s="16">
        <f t="shared" si="4"/>
        <v>1626</v>
      </c>
      <c r="E170" s="16">
        <f t="shared" si="5"/>
        <v>1626</v>
      </c>
      <c r="F170" s="16">
        <f t="shared" si="2"/>
        <v>282</v>
      </c>
      <c r="G170" s="16">
        <f t="shared" si="3"/>
        <v>79524</v>
      </c>
    </row>
    <row r="171">
      <c r="A171" s="20">
        <v>43969.0</v>
      </c>
      <c r="B171" s="21">
        <v>1343.0</v>
      </c>
      <c r="C171" s="16">
        <f t="shared" si="1"/>
        <v>1521</v>
      </c>
      <c r="D171" s="16">
        <f t="shared" si="4"/>
        <v>1437</v>
      </c>
      <c r="E171" s="16">
        <f t="shared" si="5"/>
        <v>1626</v>
      </c>
      <c r="F171" s="16">
        <f t="shared" si="2"/>
        <v>-178</v>
      </c>
      <c r="G171" s="16">
        <f t="shared" si="3"/>
        <v>31684</v>
      </c>
    </row>
    <row r="172">
      <c r="A172" s="20">
        <v>43970.0</v>
      </c>
      <c r="B172" s="21">
        <v>1437.0</v>
      </c>
      <c r="C172" s="16">
        <f t="shared" si="1"/>
        <v>1521</v>
      </c>
      <c r="D172" s="16">
        <f t="shared" si="4"/>
        <v>1437</v>
      </c>
      <c r="E172" s="16">
        <f t="shared" si="5"/>
        <v>1653</v>
      </c>
      <c r="F172" s="16">
        <f t="shared" si="2"/>
        <v>-84</v>
      </c>
      <c r="G172" s="16">
        <f t="shared" si="3"/>
        <v>7056</v>
      </c>
    </row>
    <row r="173">
      <c r="A173" s="20">
        <v>43971.0</v>
      </c>
      <c r="B173" s="21">
        <v>1696.0</v>
      </c>
      <c r="C173" s="16">
        <f t="shared" si="1"/>
        <v>1521</v>
      </c>
      <c r="D173" s="16">
        <f t="shared" si="4"/>
        <v>1676</v>
      </c>
      <c r="E173" s="16">
        <f t="shared" si="5"/>
        <v>1653</v>
      </c>
      <c r="F173" s="16">
        <f t="shared" si="2"/>
        <v>175</v>
      </c>
      <c r="G173" s="16">
        <f t="shared" si="3"/>
        <v>30625</v>
      </c>
    </row>
    <row r="174">
      <c r="A174" s="20">
        <v>43972.0</v>
      </c>
      <c r="B174" s="21">
        <v>1676.0</v>
      </c>
      <c r="C174" s="16">
        <f t="shared" si="1"/>
        <v>1521</v>
      </c>
      <c r="D174" s="16">
        <f t="shared" si="4"/>
        <v>1676</v>
      </c>
      <c r="E174" s="16">
        <f t="shared" si="5"/>
        <v>1653</v>
      </c>
      <c r="F174" s="16">
        <f t="shared" si="2"/>
        <v>155</v>
      </c>
      <c r="G174" s="16">
        <f t="shared" si="3"/>
        <v>24025</v>
      </c>
    </row>
    <row r="175">
      <c r="A175" s="20">
        <v>43973.0</v>
      </c>
      <c r="B175" s="21">
        <v>1653.0</v>
      </c>
      <c r="C175" s="16">
        <f t="shared" si="1"/>
        <v>1521</v>
      </c>
      <c r="D175" s="16">
        <f t="shared" si="4"/>
        <v>1653</v>
      </c>
      <c r="E175" s="16">
        <f t="shared" si="5"/>
        <v>1676</v>
      </c>
      <c r="F175" s="16">
        <f t="shared" si="2"/>
        <v>132</v>
      </c>
      <c r="G175" s="16">
        <f t="shared" si="3"/>
        <v>17424</v>
      </c>
    </row>
    <row r="176">
      <c r="A176" s="20">
        <v>43974.0</v>
      </c>
      <c r="B176" s="21">
        <v>1616.0</v>
      </c>
      <c r="C176" s="16">
        <f t="shared" si="1"/>
        <v>1521</v>
      </c>
      <c r="D176" s="16">
        <f t="shared" si="4"/>
        <v>1653</v>
      </c>
      <c r="E176" s="16">
        <f t="shared" si="5"/>
        <v>1676</v>
      </c>
      <c r="F176" s="16">
        <f t="shared" si="2"/>
        <v>95</v>
      </c>
      <c r="G176" s="16">
        <f t="shared" si="3"/>
        <v>9025</v>
      </c>
    </row>
    <row r="177">
      <c r="A177" s="20">
        <v>43975.0</v>
      </c>
      <c r="B177" s="21">
        <v>1696.5</v>
      </c>
      <c r="C177" s="16">
        <f t="shared" si="1"/>
        <v>1521</v>
      </c>
      <c r="D177" s="16">
        <f t="shared" si="4"/>
        <v>1696.5</v>
      </c>
      <c r="E177" s="16">
        <f t="shared" si="5"/>
        <v>1653</v>
      </c>
      <c r="F177" s="16">
        <f t="shared" si="2"/>
        <v>175.5</v>
      </c>
      <c r="G177" s="16">
        <f t="shared" si="3"/>
        <v>30800.25</v>
      </c>
    </row>
    <row r="178">
      <c r="A178" s="20">
        <v>43976.0</v>
      </c>
      <c r="B178" s="21">
        <v>1777.0</v>
      </c>
      <c r="C178" s="16">
        <f t="shared" si="1"/>
        <v>1521</v>
      </c>
      <c r="D178" s="16">
        <f t="shared" si="4"/>
        <v>1696.5</v>
      </c>
      <c r="E178" s="16">
        <f t="shared" si="5"/>
        <v>1643</v>
      </c>
      <c r="F178" s="16">
        <f t="shared" si="2"/>
        <v>256</v>
      </c>
      <c r="G178" s="16">
        <f t="shared" si="3"/>
        <v>65536</v>
      </c>
    </row>
    <row r="179">
      <c r="A179" s="20">
        <v>43977.0</v>
      </c>
      <c r="B179" s="21">
        <v>1643.0</v>
      </c>
      <c r="C179" s="16">
        <f t="shared" si="1"/>
        <v>1521</v>
      </c>
      <c r="D179" s="16">
        <f t="shared" si="4"/>
        <v>1643</v>
      </c>
      <c r="E179" s="16">
        <f t="shared" si="5"/>
        <v>1616</v>
      </c>
      <c r="F179" s="16">
        <f t="shared" si="2"/>
        <v>122</v>
      </c>
      <c r="G179" s="16">
        <f t="shared" si="3"/>
        <v>14884</v>
      </c>
    </row>
    <row r="180">
      <c r="A180" s="20">
        <v>43978.0</v>
      </c>
      <c r="B180" s="21">
        <v>1457.0</v>
      </c>
      <c r="C180" s="16">
        <f t="shared" si="1"/>
        <v>1521</v>
      </c>
      <c r="D180" s="16">
        <f t="shared" si="4"/>
        <v>1457</v>
      </c>
      <c r="E180" s="16">
        <f t="shared" si="5"/>
        <v>1643</v>
      </c>
      <c r="F180" s="16">
        <f t="shared" si="2"/>
        <v>-64</v>
      </c>
      <c r="G180" s="16">
        <f t="shared" si="3"/>
        <v>4096</v>
      </c>
    </row>
    <row r="181">
      <c r="A181" s="20">
        <v>43979.0</v>
      </c>
      <c r="B181" s="21">
        <v>1443.0</v>
      </c>
      <c r="C181" s="16">
        <f t="shared" si="1"/>
        <v>1521</v>
      </c>
      <c r="D181" s="16">
        <f t="shared" si="4"/>
        <v>1443</v>
      </c>
      <c r="E181" s="16">
        <f t="shared" si="5"/>
        <v>1643</v>
      </c>
      <c r="F181" s="16">
        <f t="shared" si="2"/>
        <v>-78</v>
      </c>
      <c r="G181" s="16">
        <f t="shared" si="3"/>
        <v>6084</v>
      </c>
    </row>
    <row r="182">
      <c r="A182" s="20">
        <v>43980.0</v>
      </c>
      <c r="B182" s="21">
        <v>1380.0</v>
      </c>
      <c r="C182" s="16">
        <f t="shared" si="1"/>
        <v>1521</v>
      </c>
      <c r="D182" s="16">
        <f t="shared" si="4"/>
        <v>1443</v>
      </c>
      <c r="E182" s="16">
        <f t="shared" si="5"/>
        <v>1565</v>
      </c>
      <c r="F182" s="16">
        <f t="shared" si="2"/>
        <v>-141</v>
      </c>
      <c r="G182" s="16">
        <f t="shared" si="3"/>
        <v>19881</v>
      </c>
    </row>
    <row r="183">
      <c r="A183" s="20">
        <v>43981.0</v>
      </c>
      <c r="B183" s="21">
        <v>1699.0</v>
      </c>
      <c r="C183" s="16">
        <f t="shared" si="1"/>
        <v>1521</v>
      </c>
      <c r="D183" s="16">
        <f t="shared" si="4"/>
        <v>1699</v>
      </c>
      <c r="E183" s="16">
        <f t="shared" si="5"/>
        <v>1565</v>
      </c>
      <c r="F183" s="16">
        <f t="shared" si="2"/>
        <v>178</v>
      </c>
      <c r="G183" s="16">
        <f t="shared" si="3"/>
        <v>31684</v>
      </c>
    </row>
    <row r="184">
      <c r="A184" s="20">
        <v>43982.0</v>
      </c>
      <c r="B184" s="21">
        <v>1784.0</v>
      </c>
      <c r="C184" s="16">
        <f t="shared" si="1"/>
        <v>1521</v>
      </c>
      <c r="D184" s="16">
        <f t="shared" si="4"/>
        <v>1699</v>
      </c>
      <c r="E184" s="16">
        <f t="shared" si="5"/>
        <v>1605</v>
      </c>
      <c r="F184" s="16">
        <f t="shared" si="2"/>
        <v>263</v>
      </c>
      <c r="G184" s="16">
        <f t="shared" si="3"/>
        <v>69169</v>
      </c>
    </row>
    <row r="185">
      <c r="A185" s="20">
        <v>43983.0</v>
      </c>
      <c r="B185" s="21">
        <v>1565.0</v>
      </c>
      <c r="C185" s="16">
        <f t="shared" si="1"/>
        <v>1521</v>
      </c>
      <c r="D185" s="16">
        <f t="shared" si="4"/>
        <v>1783</v>
      </c>
      <c r="E185" s="16">
        <f t="shared" si="5"/>
        <v>1605</v>
      </c>
      <c r="F185" s="16">
        <f t="shared" si="2"/>
        <v>44</v>
      </c>
      <c r="G185" s="16">
        <f t="shared" si="3"/>
        <v>1936</v>
      </c>
    </row>
    <row r="186">
      <c r="A186" s="20">
        <v>43984.0</v>
      </c>
      <c r="B186" s="21">
        <v>1783.0</v>
      </c>
      <c r="C186" s="16">
        <f t="shared" si="1"/>
        <v>1521</v>
      </c>
      <c r="D186" s="16">
        <f t="shared" si="4"/>
        <v>1605</v>
      </c>
      <c r="E186" s="16">
        <f t="shared" si="5"/>
        <v>1699</v>
      </c>
      <c r="F186" s="16">
        <f t="shared" si="2"/>
        <v>262</v>
      </c>
      <c r="G186" s="16">
        <f t="shared" si="3"/>
        <v>68644</v>
      </c>
    </row>
    <row r="187">
      <c r="A187" s="20">
        <v>43985.0</v>
      </c>
      <c r="B187" s="21">
        <v>1605.0</v>
      </c>
      <c r="C187" s="16">
        <f t="shared" si="1"/>
        <v>1521</v>
      </c>
      <c r="D187" s="16">
        <f t="shared" si="4"/>
        <v>1605</v>
      </c>
      <c r="E187" s="16">
        <f t="shared" si="5"/>
        <v>1783</v>
      </c>
      <c r="F187" s="16">
        <f t="shared" si="2"/>
        <v>84</v>
      </c>
      <c r="G187" s="16">
        <f t="shared" si="3"/>
        <v>7056</v>
      </c>
    </row>
    <row r="188">
      <c r="A188" s="20">
        <v>43986.0</v>
      </c>
      <c r="B188" s="21">
        <v>1351.0</v>
      </c>
      <c r="C188" s="16">
        <f t="shared" si="1"/>
        <v>1521</v>
      </c>
      <c r="D188" s="16">
        <f t="shared" si="4"/>
        <v>1605</v>
      </c>
      <c r="E188" s="16">
        <f t="shared" si="5"/>
        <v>1605</v>
      </c>
      <c r="F188" s="16">
        <f t="shared" si="2"/>
        <v>-170</v>
      </c>
      <c r="G188" s="16">
        <f t="shared" si="3"/>
        <v>28900</v>
      </c>
    </row>
    <row r="189">
      <c r="A189" s="20">
        <v>43987.0</v>
      </c>
      <c r="B189" s="21">
        <v>1811.0</v>
      </c>
      <c r="C189" s="16">
        <f t="shared" si="1"/>
        <v>1521</v>
      </c>
      <c r="D189" s="16">
        <f t="shared" si="4"/>
        <v>1784</v>
      </c>
      <c r="E189" s="16">
        <f t="shared" si="5"/>
        <v>1605</v>
      </c>
      <c r="F189" s="16">
        <f t="shared" si="2"/>
        <v>290</v>
      </c>
      <c r="G189" s="16">
        <f t="shared" si="3"/>
        <v>84100</v>
      </c>
    </row>
    <row r="190">
      <c r="A190" s="20">
        <v>43988.0</v>
      </c>
      <c r="B190" s="21">
        <v>1784.0</v>
      </c>
      <c r="C190" s="16">
        <f t="shared" si="1"/>
        <v>1521</v>
      </c>
      <c r="D190" s="16">
        <f t="shared" si="4"/>
        <v>1784</v>
      </c>
      <c r="E190" s="16">
        <f t="shared" si="5"/>
        <v>1605</v>
      </c>
      <c r="F190" s="16">
        <f t="shared" si="2"/>
        <v>263</v>
      </c>
      <c r="G190" s="16">
        <f t="shared" si="3"/>
        <v>69169</v>
      </c>
    </row>
    <row r="191">
      <c r="A191" s="20">
        <v>43989.0</v>
      </c>
      <c r="B191" s="21">
        <v>1484.0</v>
      </c>
      <c r="C191" s="16">
        <f t="shared" si="1"/>
        <v>1521</v>
      </c>
      <c r="D191" s="16">
        <f t="shared" si="4"/>
        <v>1484</v>
      </c>
      <c r="E191" s="16">
        <f t="shared" si="5"/>
        <v>1617</v>
      </c>
      <c r="F191" s="16">
        <f t="shared" si="2"/>
        <v>-37</v>
      </c>
      <c r="G191" s="16">
        <f t="shared" si="3"/>
        <v>1369</v>
      </c>
    </row>
    <row r="192">
      <c r="A192" s="20">
        <v>43990.0</v>
      </c>
      <c r="B192" s="21">
        <v>1378.0</v>
      </c>
      <c r="C192" s="16">
        <f t="shared" si="1"/>
        <v>1521</v>
      </c>
      <c r="D192" s="16">
        <f t="shared" si="4"/>
        <v>1484</v>
      </c>
      <c r="E192" s="16">
        <f t="shared" si="5"/>
        <v>1617</v>
      </c>
      <c r="F192" s="16">
        <f t="shared" si="2"/>
        <v>-143</v>
      </c>
      <c r="G192" s="16">
        <f t="shared" si="3"/>
        <v>20449</v>
      </c>
    </row>
    <row r="193">
      <c r="A193" s="20">
        <v>43991.0</v>
      </c>
      <c r="B193" s="21">
        <v>1617.0</v>
      </c>
      <c r="C193" s="16">
        <f t="shared" si="1"/>
        <v>1521</v>
      </c>
      <c r="D193" s="16">
        <f t="shared" si="4"/>
        <v>1617</v>
      </c>
      <c r="E193" s="16">
        <f t="shared" si="5"/>
        <v>1484</v>
      </c>
      <c r="F193" s="16">
        <f t="shared" si="2"/>
        <v>96</v>
      </c>
      <c r="G193" s="16">
        <f t="shared" si="3"/>
        <v>9216</v>
      </c>
    </row>
    <row r="194">
      <c r="A194" s="20">
        <v>43992.0</v>
      </c>
      <c r="B194" s="21">
        <v>1693.0</v>
      </c>
      <c r="C194" s="16">
        <f t="shared" si="1"/>
        <v>1521</v>
      </c>
      <c r="D194" s="16">
        <f t="shared" si="4"/>
        <v>1617</v>
      </c>
      <c r="E194" s="16">
        <f t="shared" si="5"/>
        <v>1484</v>
      </c>
      <c r="F194" s="16">
        <f t="shared" si="2"/>
        <v>172</v>
      </c>
      <c r="G194" s="16">
        <f t="shared" si="3"/>
        <v>29584</v>
      </c>
    </row>
    <row r="195">
      <c r="A195" s="20">
        <v>43993.0</v>
      </c>
      <c r="B195" s="21">
        <v>1465.0</v>
      </c>
      <c r="C195" s="16">
        <f t="shared" si="1"/>
        <v>1521</v>
      </c>
      <c r="D195" s="16">
        <f t="shared" si="4"/>
        <v>1465</v>
      </c>
      <c r="E195" s="16">
        <f t="shared" si="5"/>
        <v>1554</v>
      </c>
      <c r="F195" s="16">
        <f t="shared" si="2"/>
        <v>-56</v>
      </c>
      <c r="G195" s="16">
        <f t="shared" si="3"/>
        <v>3136</v>
      </c>
    </row>
    <row r="196">
      <c r="A196" s="20">
        <v>43994.0</v>
      </c>
      <c r="B196" s="21">
        <v>1451.0</v>
      </c>
      <c r="C196" s="16">
        <f t="shared" si="1"/>
        <v>1521</v>
      </c>
      <c r="D196" s="16">
        <f t="shared" si="4"/>
        <v>1465</v>
      </c>
      <c r="E196" s="16">
        <f t="shared" si="5"/>
        <v>1617</v>
      </c>
      <c r="F196" s="16">
        <f t="shared" si="2"/>
        <v>-70</v>
      </c>
      <c r="G196" s="16">
        <f t="shared" si="3"/>
        <v>4900</v>
      </c>
    </row>
    <row r="197">
      <c r="A197" s="20">
        <v>43995.0</v>
      </c>
      <c r="B197" s="21">
        <v>1554.0</v>
      </c>
      <c r="C197" s="16">
        <f t="shared" si="1"/>
        <v>1521</v>
      </c>
      <c r="D197" s="16">
        <f t="shared" si="4"/>
        <v>1554</v>
      </c>
      <c r="E197" s="16">
        <f t="shared" si="5"/>
        <v>1661</v>
      </c>
      <c r="F197" s="16">
        <f t="shared" si="2"/>
        <v>33</v>
      </c>
      <c r="G197" s="16">
        <f t="shared" si="3"/>
        <v>1089</v>
      </c>
    </row>
    <row r="198">
      <c r="A198" s="20">
        <v>43996.0</v>
      </c>
      <c r="B198" s="21">
        <v>1708.0</v>
      </c>
      <c r="C198" s="16">
        <f t="shared" si="1"/>
        <v>1521</v>
      </c>
      <c r="D198" s="16">
        <f t="shared" si="4"/>
        <v>1661</v>
      </c>
      <c r="E198" s="16">
        <f t="shared" si="5"/>
        <v>1661</v>
      </c>
      <c r="F198" s="16">
        <f t="shared" si="2"/>
        <v>187</v>
      </c>
      <c r="G198" s="16">
        <f t="shared" si="3"/>
        <v>34969</v>
      </c>
    </row>
    <row r="199">
      <c r="A199" s="20">
        <v>43997.0</v>
      </c>
      <c r="B199" s="21">
        <v>1661.0</v>
      </c>
      <c r="C199" s="16">
        <f t="shared" si="1"/>
        <v>1521</v>
      </c>
      <c r="D199" s="16">
        <f t="shared" si="4"/>
        <v>1708</v>
      </c>
      <c r="E199" s="16">
        <f t="shared" si="5"/>
        <v>1663</v>
      </c>
      <c r="F199" s="16">
        <f t="shared" si="2"/>
        <v>140</v>
      </c>
      <c r="G199" s="16">
        <f t="shared" si="3"/>
        <v>19600</v>
      </c>
    </row>
    <row r="200">
      <c r="A200" s="20">
        <v>43998.0</v>
      </c>
      <c r="B200" s="21">
        <v>1740.0</v>
      </c>
      <c r="C200" s="16">
        <f t="shared" si="1"/>
        <v>1521</v>
      </c>
      <c r="D200" s="16">
        <f t="shared" si="4"/>
        <v>1663</v>
      </c>
      <c r="E200" s="16">
        <f t="shared" si="5"/>
        <v>1663</v>
      </c>
      <c r="F200" s="16">
        <f t="shared" si="2"/>
        <v>219</v>
      </c>
      <c r="G200" s="16">
        <f t="shared" si="3"/>
        <v>47961</v>
      </c>
    </row>
    <row r="201">
      <c r="A201" s="20">
        <v>43999.0</v>
      </c>
      <c r="B201" s="21">
        <v>1663.0</v>
      </c>
      <c r="C201" s="16">
        <f t="shared" si="1"/>
        <v>1521</v>
      </c>
      <c r="D201" s="16">
        <f t="shared" si="4"/>
        <v>1740</v>
      </c>
      <c r="E201" s="16">
        <f t="shared" si="5"/>
        <v>1663</v>
      </c>
      <c r="F201" s="16">
        <f t="shared" si="2"/>
        <v>142</v>
      </c>
      <c r="G201" s="16">
        <f t="shared" si="3"/>
        <v>20164</v>
      </c>
    </row>
    <row r="202">
      <c r="A202" s="20">
        <v>44000.0</v>
      </c>
      <c r="B202" s="21">
        <v>1745.0</v>
      </c>
      <c r="C202" s="16">
        <f t="shared" si="1"/>
        <v>1521</v>
      </c>
      <c r="D202" s="16">
        <f t="shared" si="4"/>
        <v>1663</v>
      </c>
      <c r="E202" s="16">
        <f t="shared" si="5"/>
        <v>1663</v>
      </c>
      <c r="F202" s="16">
        <f t="shared" si="2"/>
        <v>224</v>
      </c>
      <c r="G202" s="16">
        <f t="shared" si="3"/>
        <v>50176</v>
      </c>
    </row>
    <row r="203">
      <c r="A203" s="20">
        <v>44001.0</v>
      </c>
      <c r="B203" s="21">
        <v>1624.0</v>
      </c>
      <c r="C203" s="16">
        <f t="shared" si="1"/>
        <v>1521</v>
      </c>
      <c r="D203" s="16">
        <f t="shared" si="4"/>
        <v>1624</v>
      </c>
      <c r="E203" s="16">
        <f t="shared" si="5"/>
        <v>1663</v>
      </c>
      <c r="F203" s="16">
        <f t="shared" si="2"/>
        <v>103</v>
      </c>
      <c r="G203" s="16">
        <f t="shared" si="3"/>
        <v>10609</v>
      </c>
    </row>
    <row r="204">
      <c r="A204" s="20">
        <v>44002.0</v>
      </c>
      <c r="B204" s="21">
        <v>1566.0</v>
      </c>
      <c r="C204" s="16">
        <f t="shared" si="1"/>
        <v>1521</v>
      </c>
      <c r="D204" s="16">
        <f t="shared" si="4"/>
        <v>1624</v>
      </c>
      <c r="E204" s="16">
        <f t="shared" si="5"/>
        <v>1634</v>
      </c>
      <c r="F204" s="16">
        <f t="shared" si="2"/>
        <v>45</v>
      </c>
      <c r="G204" s="16">
        <f t="shared" si="3"/>
        <v>2025</v>
      </c>
    </row>
    <row r="205">
      <c r="A205" s="20">
        <v>44003.0</v>
      </c>
      <c r="B205" s="21">
        <v>1669.0</v>
      </c>
      <c r="C205" s="16">
        <f t="shared" si="1"/>
        <v>1521</v>
      </c>
      <c r="D205" s="16">
        <f t="shared" si="4"/>
        <v>1566</v>
      </c>
      <c r="E205" s="16">
        <f t="shared" si="5"/>
        <v>1634</v>
      </c>
      <c r="F205" s="16">
        <f t="shared" si="2"/>
        <v>148</v>
      </c>
      <c r="G205" s="16">
        <f t="shared" si="3"/>
        <v>21904</v>
      </c>
    </row>
    <row r="206">
      <c r="A206" s="20">
        <v>44004.0</v>
      </c>
      <c r="B206" s="21">
        <v>1449.0</v>
      </c>
      <c r="C206" s="16">
        <f t="shared" si="1"/>
        <v>1521</v>
      </c>
      <c r="D206" s="16">
        <f t="shared" si="4"/>
        <v>1634</v>
      </c>
      <c r="E206" s="16">
        <f t="shared" si="5"/>
        <v>1634</v>
      </c>
      <c r="F206" s="16">
        <f t="shared" si="2"/>
        <v>-72</v>
      </c>
      <c r="G206" s="16">
        <f t="shared" si="3"/>
        <v>5184</v>
      </c>
    </row>
    <row r="207">
      <c r="A207" s="20">
        <v>44005.0</v>
      </c>
      <c r="B207" s="21">
        <v>1634.0</v>
      </c>
      <c r="C207" s="16">
        <f t="shared" si="1"/>
        <v>1521</v>
      </c>
      <c r="D207" s="16">
        <f t="shared" si="4"/>
        <v>1634</v>
      </c>
      <c r="E207" s="16">
        <f t="shared" si="5"/>
        <v>1664</v>
      </c>
      <c r="F207" s="16">
        <f t="shared" si="2"/>
        <v>113</v>
      </c>
      <c r="G207" s="16">
        <f t="shared" si="3"/>
        <v>12769</v>
      </c>
    </row>
    <row r="208">
      <c r="A208" s="20">
        <v>44006.0</v>
      </c>
      <c r="B208" s="21">
        <v>1696.0</v>
      </c>
      <c r="C208" s="16">
        <f t="shared" si="1"/>
        <v>1521</v>
      </c>
      <c r="D208" s="16">
        <f t="shared" si="4"/>
        <v>1696</v>
      </c>
      <c r="E208" s="16">
        <f t="shared" si="5"/>
        <v>1664</v>
      </c>
      <c r="F208" s="16">
        <f t="shared" si="2"/>
        <v>175</v>
      </c>
      <c r="G208" s="16">
        <f t="shared" si="3"/>
        <v>30625</v>
      </c>
    </row>
    <row r="209">
      <c r="A209" s="20">
        <v>44007.0</v>
      </c>
      <c r="B209" s="21">
        <v>1758.0</v>
      </c>
      <c r="C209" s="16">
        <f t="shared" si="1"/>
        <v>1521</v>
      </c>
      <c r="D209" s="16">
        <f t="shared" si="4"/>
        <v>1696</v>
      </c>
      <c r="E209" s="16">
        <f t="shared" si="5"/>
        <v>1634</v>
      </c>
      <c r="F209" s="16">
        <f t="shared" si="2"/>
        <v>237</v>
      </c>
      <c r="G209" s="16">
        <f t="shared" si="3"/>
        <v>56169</v>
      </c>
    </row>
    <row r="210">
      <c r="A210" s="20">
        <v>44008.0</v>
      </c>
      <c r="B210" s="21">
        <v>1664.0</v>
      </c>
      <c r="C210" s="16">
        <f t="shared" si="1"/>
        <v>1521</v>
      </c>
      <c r="D210" s="16">
        <f t="shared" si="4"/>
        <v>1664</v>
      </c>
      <c r="E210" s="16">
        <f t="shared" si="5"/>
        <v>1634</v>
      </c>
      <c r="F210" s="16">
        <f t="shared" si="2"/>
        <v>143</v>
      </c>
      <c r="G210" s="16">
        <f t="shared" si="3"/>
        <v>20449</v>
      </c>
    </row>
    <row r="211">
      <c r="A211" s="20">
        <v>44009.0</v>
      </c>
      <c r="B211" s="21">
        <v>1387.0</v>
      </c>
      <c r="C211" s="16">
        <f t="shared" si="1"/>
        <v>1521</v>
      </c>
      <c r="D211" s="16">
        <f t="shared" si="4"/>
        <v>1517</v>
      </c>
      <c r="E211" s="16">
        <f t="shared" si="5"/>
        <v>1645</v>
      </c>
      <c r="F211" s="16">
        <f t="shared" si="2"/>
        <v>-134</v>
      </c>
      <c r="G211" s="16">
        <f t="shared" si="3"/>
        <v>17956</v>
      </c>
    </row>
    <row r="212">
      <c r="A212" s="20">
        <v>44010.0</v>
      </c>
      <c r="B212" s="21">
        <v>1517.0</v>
      </c>
      <c r="C212" s="16">
        <f t="shared" si="1"/>
        <v>1521</v>
      </c>
      <c r="D212" s="16">
        <f t="shared" si="4"/>
        <v>1401</v>
      </c>
      <c r="E212" s="16">
        <f t="shared" si="5"/>
        <v>1517</v>
      </c>
      <c r="F212" s="16">
        <f t="shared" si="2"/>
        <v>-4</v>
      </c>
      <c r="G212" s="16">
        <f t="shared" si="3"/>
        <v>16</v>
      </c>
    </row>
    <row r="213">
      <c r="A213" s="20">
        <v>44011.0</v>
      </c>
      <c r="B213" s="21">
        <v>1401.0</v>
      </c>
      <c r="C213" s="16">
        <f t="shared" si="1"/>
        <v>1521</v>
      </c>
      <c r="D213" s="16">
        <f t="shared" si="4"/>
        <v>1517</v>
      </c>
      <c r="E213" s="16">
        <f t="shared" si="5"/>
        <v>1517</v>
      </c>
      <c r="F213" s="16">
        <f t="shared" si="2"/>
        <v>-120</v>
      </c>
      <c r="G213" s="16">
        <f t="shared" si="3"/>
        <v>14400</v>
      </c>
    </row>
    <row r="214">
      <c r="A214" s="20">
        <v>44012.0</v>
      </c>
      <c r="B214" s="21">
        <v>1645.0</v>
      </c>
      <c r="C214" s="16">
        <f t="shared" si="1"/>
        <v>1521</v>
      </c>
      <c r="D214" s="16">
        <f t="shared" si="4"/>
        <v>1401</v>
      </c>
      <c r="E214" s="16">
        <f t="shared" si="5"/>
        <v>1517</v>
      </c>
      <c r="F214" s="16">
        <f t="shared" si="2"/>
        <v>124</v>
      </c>
      <c r="G214" s="16">
        <f t="shared" si="3"/>
        <v>15376</v>
      </c>
    </row>
    <row r="215">
      <c r="A215" s="20">
        <v>44013.0</v>
      </c>
      <c r="B215" s="21">
        <v>1272.0</v>
      </c>
      <c r="C215" s="16">
        <f t="shared" si="1"/>
        <v>1521</v>
      </c>
      <c r="D215" s="16">
        <f t="shared" si="4"/>
        <v>1645</v>
      </c>
      <c r="E215" s="16">
        <f t="shared" si="5"/>
        <v>1554</v>
      </c>
      <c r="F215" s="16">
        <f t="shared" si="2"/>
        <v>-249</v>
      </c>
      <c r="G215" s="16">
        <f t="shared" si="3"/>
        <v>62001</v>
      </c>
    </row>
    <row r="216">
      <c r="A216" s="20">
        <v>44014.0</v>
      </c>
      <c r="B216" s="21">
        <v>1686.0</v>
      </c>
      <c r="C216" s="16">
        <f t="shared" si="1"/>
        <v>1521</v>
      </c>
      <c r="D216" s="16">
        <f t="shared" si="4"/>
        <v>1554</v>
      </c>
      <c r="E216" s="16">
        <f t="shared" si="5"/>
        <v>1554</v>
      </c>
      <c r="F216" s="16">
        <f t="shared" si="2"/>
        <v>165</v>
      </c>
      <c r="G216" s="16">
        <f t="shared" si="3"/>
        <v>27225</v>
      </c>
    </row>
    <row r="217">
      <c r="A217" s="20">
        <v>44015.0</v>
      </c>
      <c r="B217" s="21">
        <v>1554.0</v>
      </c>
      <c r="C217" s="16">
        <f t="shared" si="1"/>
        <v>1521</v>
      </c>
      <c r="D217" s="16">
        <f t="shared" si="4"/>
        <v>1603</v>
      </c>
      <c r="E217" s="16">
        <f t="shared" si="5"/>
        <v>1572</v>
      </c>
      <c r="F217" s="16">
        <f t="shared" si="2"/>
        <v>33</v>
      </c>
      <c r="G217" s="16">
        <f t="shared" si="3"/>
        <v>1089</v>
      </c>
    </row>
    <row r="218">
      <c r="A218" s="20">
        <v>44016.0</v>
      </c>
      <c r="B218" s="21">
        <v>1603.0</v>
      </c>
      <c r="C218" s="16">
        <f t="shared" si="1"/>
        <v>1521</v>
      </c>
      <c r="D218" s="16">
        <f t="shared" si="4"/>
        <v>1554</v>
      </c>
      <c r="E218" s="16">
        <f t="shared" si="5"/>
        <v>1572</v>
      </c>
      <c r="F218" s="16">
        <f t="shared" si="2"/>
        <v>82</v>
      </c>
      <c r="G218" s="16">
        <f t="shared" si="3"/>
        <v>6724</v>
      </c>
    </row>
    <row r="219">
      <c r="A219" s="20">
        <v>44017.0</v>
      </c>
      <c r="B219" s="21">
        <v>1257.0</v>
      </c>
      <c r="C219" s="16">
        <f t="shared" si="1"/>
        <v>1521</v>
      </c>
      <c r="D219" s="16">
        <f t="shared" si="4"/>
        <v>1572</v>
      </c>
      <c r="E219" s="16">
        <f t="shared" si="5"/>
        <v>1572</v>
      </c>
      <c r="F219" s="16">
        <f t="shared" si="2"/>
        <v>-264</v>
      </c>
      <c r="G219" s="16">
        <f t="shared" si="3"/>
        <v>69696</v>
      </c>
    </row>
    <row r="220">
      <c r="A220" s="20">
        <v>44018.0</v>
      </c>
      <c r="B220" s="21">
        <v>1572.0</v>
      </c>
      <c r="C220" s="16">
        <f t="shared" si="1"/>
        <v>1521</v>
      </c>
      <c r="D220" s="16">
        <f t="shared" si="4"/>
        <v>1572</v>
      </c>
      <c r="E220" s="16">
        <f t="shared" si="5"/>
        <v>1554</v>
      </c>
      <c r="F220" s="16">
        <f t="shared" si="2"/>
        <v>51</v>
      </c>
      <c r="G220" s="16">
        <f t="shared" si="3"/>
        <v>2601</v>
      </c>
    </row>
    <row r="221">
      <c r="A221" s="20">
        <v>44019.0</v>
      </c>
      <c r="B221" s="21">
        <v>1700.0</v>
      </c>
      <c r="C221" s="16">
        <f t="shared" si="1"/>
        <v>1521</v>
      </c>
      <c r="D221" s="16">
        <f t="shared" si="4"/>
        <v>1572</v>
      </c>
      <c r="E221" s="16">
        <f t="shared" si="5"/>
        <v>1544</v>
      </c>
      <c r="F221" s="16">
        <f t="shared" si="2"/>
        <v>179</v>
      </c>
      <c r="G221" s="16">
        <f t="shared" si="3"/>
        <v>32041</v>
      </c>
    </row>
    <row r="222">
      <c r="A222" s="20">
        <v>44020.0</v>
      </c>
      <c r="B222" s="21">
        <v>1544.0</v>
      </c>
      <c r="C222" s="16">
        <f t="shared" si="1"/>
        <v>1521</v>
      </c>
      <c r="D222" s="16">
        <f t="shared" si="4"/>
        <v>1544</v>
      </c>
      <c r="E222" s="16">
        <f t="shared" si="5"/>
        <v>1544</v>
      </c>
      <c r="F222" s="16">
        <f t="shared" si="2"/>
        <v>23</v>
      </c>
      <c r="G222" s="16">
        <f t="shared" si="3"/>
        <v>529</v>
      </c>
    </row>
    <row r="223">
      <c r="A223" s="20">
        <v>44021.0</v>
      </c>
      <c r="B223" s="21">
        <v>1490.0</v>
      </c>
      <c r="C223" s="16">
        <f t="shared" si="1"/>
        <v>1521</v>
      </c>
      <c r="D223" s="16">
        <f t="shared" si="4"/>
        <v>1490</v>
      </c>
      <c r="E223" s="16">
        <f t="shared" si="5"/>
        <v>1544</v>
      </c>
      <c r="F223" s="16">
        <f t="shared" si="2"/>
        <v>-31</v>
      </c>
      <c r="G223" s="16">
        <f t="shared" si="3"/>
        <v>961</v>
      </c>
    </row>
    <row r="224">
      <c r="A224" s="20">
        <v>44022.0</v>
      </c>
      <c r="B224" s="21">
        <v>1475.0</v>
      </c>
      <c r="C224" s="16">
        <f t="shared" si="1"/>
        <v>1521</v>
      </c>
      <c r="D224" s="16">
        <f t="shared" si="4"/>
        <v>1490</v>
      </c>
      <c r="E224" s="16">
        <f t="shared" si="5"/>
        <v>1544</v>
      </c>
      <c r="F224" s="16">
        <f t="shared" si="2"/>
        <v>-46</v>
      </c>
      <c r="G224" s="16">
        <f t="shared" si="3"/>
        <v>2116</v>
      </c>
    </row>
    <row r="225">
      <c r="A225" s="20">
        <v>44023.0</v>
      </c>
      <c r="B225" s="21">
        <v>1690.0</v>
      </c>
      <c r="C225" s="16">
        <f t="shared" si="1"/>
        <v>1521</v>
      </c>
      <c r="D225" s="16">
        <f t="shared" si="4"/>
        <v>1513</v>
      </c>
      <c r="E225" s="16">
        <f t="shared" si="5"/>
        <v>1544</v>
      </c>
      <c r="F225" s="16">
        <f t="shared" si="2"/>
        <v>169</v>
      </c>
      <c r="G225" s="16">
        <f t="shared" si="3"/>
        <v>28561</v>
      </c>
    </row>
    <row r="226">
      <c r="A226" s="20">
        <v>44024.0</v>
      </c>
      <c r="B226" s="21">
        <v>1513.0</v>
      </c>
      <c r="C226" s="16">
        <f t="shared" si="1"/>
        <v>1521</v>
      </c>
      <c r="D226" s="16">
        <f t="shared" si="4"/>
        <v>1646</v>
      </c>
      <c r="E226" s="16">
        <f t="shared" si="5"/>
        <v>1513</v>
      </c>
      <c r="F226" s="16">
        <f t="shared" si="2"/>
        <v>-8</v>
      </c>
      <c r="G226" s="16">
        <f t="shared" si="3"/>
        <v>64</v>
      </c>
    </row>
    <row r="227">
      <c r="A227" s="20">
        <v>44025.0</v>
      </c>
      <c r="B227" s="21">
        <v>1646.0</v>
      </c>
      <c r="C227" s="16">
        <f t="shared" si="1"/>
        <v>1521</v>
      </c>
      <c r="D227" s="16">
        <f t="shared" si="4"/>
        <v>1563</v>
      </c>
      <c r="E227" s="16">
        <f t="shared" si="5"/>
        <v>1563</v>
      </c>
      <c r="F227" s="16">
        <f t="shared" si="2"/>
        <v>125</v>
      </c>
      <c r="G227" s="16">
        <f t="shared" si="3"/>
        <v>15625</v>
      </c>
    </row>
    <row r="228">
      <c r="A228" s="20">
        <v>44026.0</v>
      </c>
      <c r="B228" s="21">
        <v>1563.0</v>
      </c>
      <c r="C228" s="16">
        <f t="shared" si="1"/>
        <v>1521</v>
      </c>
      <c r="D228" s="16">
        <f t="shared" si="4"/>
        <v>1563</v>
      </c>
      <c r="E228" s="16">
        <f t="shared" si="5"/>
        <v>1575</v>
      </c>
      <c r="F228" s="16">
        <f t="shared" si="2"/>
        <v>42</v>
      </c>
      <c r="G228" s="16">
        <f t="shared" si="3"/>
        <v>1764</v>
      </c>
    </row>
    <row r="229">
      <c r="A229" s="20">
        <v>44027.0</v>
      </c>
      <c r="B229" s="21">
        <v>1311.0</v>
      </c>
      <c r="C229" s="16">
        <f t="shared" si="1"/>
        <v>1521</v>
      </c>
      <c r="D229" s="16">
        <f t="shared" si="4"/>
        <v>1563</v>
      </c>
      <c r="E229" s="16">
        <f t="shared" si="5"/>
        <v>1563</v>
      </c>
      <c r="F229" s="16">
        <f t="shared" si="2"/>
        <v>-210</v>
      </c>
      <c r="G229" s="16">
        <f t="shared" si="3"/>
        <v>44100</v>
      </c>
    </row>
    <row r="230">
      <c r="A230" s="20">
        <v>44028.0</v>
      </c>
      <c r="B230" s="21">
        <v>1575.0</v>
      </c>
      <c r="C230" s="16">
        <f t="shared" si="1"/>
        <v>1521</v>
      </c>
      <c r="D230" s="16">
        <f t="shared" si="4"/>
        <v>1575</v>
      </c>
      <c r="E230" s="16">
        <f t="shared" si="5"/>
        <v>1563</v>
      </c>
      <c r="F230" s="16">
        <f t="shared" si="2"/>
        <v>54</v>
      </c>
      <c r="G230" s="16">
        <f t="shared" si="3"/>
        <v>2916</v>
      </c>
    </row>
    <row r="231">
      <c r="A231" s="20">
        <v>44029.0</v>
      </c>
      <c r="B231" s="21">
        <v>1643.0</v>
      </c>
      <c r="C231" s="16">
        <f t="shared" si="1"/>
        <v>1521</v>
      </c>
      <c r="D231" s="16">
        <f t="shared" si="4"/>
        <v>1575</v>
      </c>
      <c r="E231" s="16">
        <f t="shared" si="5"/>
        <v>1427</v>
      </c>
      <c r="F231" s="16">
        <f t="shared" si="2"/>
        <v>122</v>
      </c>
      <c r="G231" s="16">
        <f t="shared" si="3"/>
        <v>14884</v>
      </c>
    </row>
    <row r="232">
      <c r="A232" s="20">
        <v>44030.0</v>
      </c>
      <c r="B232" s="21">
        <v>1408.0</v>
      </c>
      <c r="C232" s="16">
        <f t="shared" si="1"/>
        <v>1521</v>
      </c>
      <c r="D232" s="16">
        <f t="shared" si="4"/>
        <v>1427</v>
      </c>
      <c r="E232" s="16">
        <f t="shared" si="5"/>
        <v>1408</v>
      </c>
      <c r="F232" s="16">
        <f t="shared" si="2"/>
        <v>-113</v>
      </c>
      <c r="G232" s="16">
        <f t="shared" si="3"/>
        <v>12769</v>
      </c>
    </row>
    <row r="233">
      <c r="A233" s="20">
        <v>44031.0</v>
      </c>
      <c r="B233" s="21">
        <v>1427.0</v>
      </c>
      <c r="C233" s="16">
        <f t="shared" si="1"/>
        <v>1521</v>
      </c>
      <c r="D233" s="16">
        <f t="shared" si="4"/>
        <v>1408</v>
      </c>
      <c r="E233" s="16">
        <f t="shared" si="5"/>
        <v>1408</v>
      </c>
      <c r="F233" s="16">
        <f t="shared" si="2"/>
        <v>-94</v>
      </c>
      <c r="G233" s="16">
        <f t="shared" si="3"/>
        <v>8836</v>
      </c>
    </row>
    <row r="234">
      <c r="A234" s="20">
        <v>44032.0</v>
      </c>
      <c r="B234" s="21">
        <v>1362.5</v>
      </c>
      <c r="C234" s="16">
        <f t="shared" si="1"/>
        <v>1521</v>
      </c>
      <c r="D234" s="16">
        <f t="shared" si="4"/>
        <v>1362.5</v>
      </c>
      <c r="E234" s="16">
        <f t="shared" si="5"/>
        <v>1362.5</v>
      </c>
      <c r="F234" s="16">
        <f t="shared" si="2"/>
        <v>-158.5</v>
      </c>
      <c r="G234" s="16">
        <f t="shared" si="3"/>
        <v>25122.25</v>
      </c>
    </row>
    <row r="235">
      <c r="A235" s="20">
        <v>44033.0</v>
      </c>
      <c r="B235" s="21">
        <v>1298.0</v>
      </c>
      <c r="C235" s="16">
        <f t="shared" si="1"/>
        <v>1521</v>
      </c>
      <c r="D235" s="16">
        <f t="shared" si="4"/>
        <v>1351</v>
      </c>
      <c r="E235" s="16">
        <f t="shared" si="5"/>
        <v>1351</v>
      </c>
      <c r="F235" s="16">
        <f t="shared" si="2"/>
        <v>-223</v>
      </c>
      <c r="G235" s="16">
        <f t="shared" si="3"/>
        <v>49729</v>
      </c>
    </row>
    <row r="236">
      <c r="A236" s="20">
        <v>44034.0</v>
      </c>
      <c r="B236" s="21">
        <v>1351.0</v>
      </c>
      <c r="C236" s="16">
        <f t="shared" si="1"/>
        <v>1521</v>
      </c>
      <c r="D236" s="16">
        <f t="shared" si="4"/>
        <v>1346</v>
      </c>
      <c r="E236" s="16">
        <f t="shared" si="5"/>
        <v>1351</v>
      </c>
      <c r="F236" s="16">
        <f t="shared" si="2"/>
        <v>-170</v>
      </c>
      <c r="G236" s="16">
        <f t="shared" si="3"/>
        <v>28900</v>
      </c>
    </row>
    <row r="237">
      <c r="A237" s="20">
        <v>44035.0</v>
      </c>
      <c r="B237" s="21">
        <v>1346.0</v>
      </c>
      <c r="C237" s="16">
        <f t="shared" si="1"/>
        <v>1521</v>
      </c>
      <c r="D237" s="16">
        <f t="shared" si="4"/>
        <v>1346</v>
      </c>
      <c r="E237" s="16">
        <f t="shared" si="5"/>
        <v>1351</v>
      </c>
      <c r="F237" s="16">
        <f t="shared" si="2"/>
        <v>-175</v>
      </c>
      <c r="G237" s="16">
        <f t="shared" si="3"/>
        <v>30625</v>
      </c>
    </row>
    <row r="238">
      <c r="A238" s="20">
        <v>44036.0</v>
      </c>
      <c r="B238" s="21">
        <v>1299.0</v>
      </c>
      <c r="C238" s="16">
        <f t="shared" si="1"/>
        <v>1521</v>
      </c>
      <c r="D238" s="16">
        <f t="shared" si="4"/>
        <v>1346</v>
      </c>
      <c r="E238" s="16">
        <f t="shared" si="5"/>
        <v>1351</v>
      </c>
      <c r="F238" s="16">
        <f t="shared" si="2"/>
        <v>-222</v>
      </c>
      <c r="G238" s="16">
        <f t="shared" si="3"/>
        <v>49284</v>
      </c>
    </row>
    <row r="239">
      <c r="A239" s="20">
        <v>44037.0</v>
      </c>
      <c r="B239" s="21">
        <v>1603.0</v>
      </c>
      <c r="C239" s="16">
        <f t="shared" si="1"/>
        <v>1521</v>
      </c>
      <c r="D239" s="16">
        <f t="shared" si="4"/>
        <v>1395</v>
      </c>
      <c r="E239" s="16">
        <f t="shared" si="5"/>
        <v>1351</v>
      </c>
      <c r="F239" s="16">
        <f t="shared" si="2"/>
        <v>82</v>
      </c>
      <c r="G239" s="16">
        <f t="shared" si="3"/>
        <v>6724</v>
      </c>
    </row>
    <row r="240">
      <c r="A240" s="20">
        <v>44038.0</v>
      </c>
      <c r="B240" s="21">
        <v>1395.0</v>
      </c>
      <c r="C240" s="16">
        <f t="shared" si="1"/>
        <v>1521</v>
      </c>
      <c r="D240" s="16">
        <f t="shared" si="4"/>
        <v>1603</v>
      </c>
      <c r="E240" s="16">
        <f t="shared" si="5"/>
        <v>1395</v>
      </c>
      <c r="F240" s="16">
        <f t="shared" si="2"/>
        <v>-126</v>
      </c>
      <c r="G240" s="16">
        <f t="shared" si="3"/>
        <v>15876</v>
      </c>
    </row>
    <row r="241">
      <c r="A241" s="20">
        <v>44039.0</v>
      </c>
      <c r="B241" s="21">
        <v>1740.0</v>
      </c>
      <c r="C241" s="16">
        <f t="shared" si="1"/>
        <v>1521</v>
      </c>
      <c r="D241" s="16">
        <f t="shared" si="4"/>
        <v>1395</v>
      </c>
      <c r="E241" s="16">
        <f t="shared" si="5"/>
        <v>1395</v>
      </c>
      <c r="F241" s="16">
        <f t="shared" si="2"/>
        <v>219</v>
      </c>
      <c r="G241" s="16">
        <f t="shared" si="3"/>
        <v>47961</v>
      </c>
    </row>
    <row r="242">
      <c r="A242" s="20">
        <v>44040.0</v>
      </c>
      <c r="B242" s="21">
        <v>1313.0</v>
      </c>
      <c r="C242" s="16">
        <f t="shared" si="1"/>
        <v>1521</v>
      </c>
      <c r="D242" s="16">
        <f t="shared" si="4"/>
        <v>1481</v>
      </c>
      <c r="E242" s="16">
        <f t="shared" si="5"/>
        <v>1395</v>
      </c>
      <c r="F242" s="16">
        <f t="shared" si="2"/>
        <v>-208</v>
      </c>
      <c r="G242" s="16">
        <f t="shared" si="3"/>
        <v>43264</v>
      </c>
    </row>
    <row r="243">
      <c r="A243" s="20">
        <v>44041.0</v>
      </c>
      <c r="B243" s="21">
        <v>1481.0</v>
      </c>
      <c r="C243" s="16">
        <f t="shared" si="1"/>
        <v>1521</v>
      </c>
      <c r="D243" s="16">
        <f t="shared" si="4"/>
        <v>1354</v>
      </c>
      <c r="E243" s="16">
        <f t="shared" si="5"/>
        <v>1395</v>
      </c>
      <c r="F243" s="16">
        <f t="shared" si="2"/>
        <v>-40</v>
      </c>
      <c r="G243" s="16">
        <f t="shared" si="3"/>
        <v>1600</v>
      </c>
    </row>
    <row r="244">
      <c r="A244" s="20">
        <v>44042.0</v>
      </c>
      <c r="B244" s="21">
        <v>1354.0</v>
      </c>
      <c r="C244" s="16">
        <f t="shared" si="1"/>
        <v>1521</v>
      </c>
      <c r="D244" s="16">
        <f t="shared" si="4"/>
        <v>1354</v>
      </c>
      <c r="E244" s="16">
        <f t="shared" si="5"/>
        <v>1481</v>
      </c>
      <c r="F244" s="16">
        <f t="shared" si="2"/>
        <v>-167</v>
      </c>
      <c r="G244" s="16">
        <f t="shared" si="3"/>
        <v>27889</v>
      </c>
    </row>
    <row r="245">
      <c r="A245" s="20">
        <v>44043.0</v>
      </c>
      <c r="B245" s="21">
        <v>1345.0</v>
      </c>
      <c r="C245" s="16">
        <f t="shared" si="1"/>
        <v>1521</v>
      </c>
      <c r="D245" s="16">
        <f t="shared" si="4"/>
        <v>1354</v>
      </c>
      <c r="E245" s="16">
        <f t="shared" si="5"/>
        <v>1354</v>
      </c>
      <c r="F245" s="16">
        <f t="shared" si="2"/>
        <v>-176</v>
      </c>
      <c r="G245" s="16">
        <f t="shared" si="3"/>
        <v>30976</v>
      </c>
    </row>
    <row r="246">
      <c r="A246" s="20">
        <v>44044.0</v>
      </c>
      <c r="B246" s="21">
        <v>1685.0</v>
      </c>
      <c r="C246" s="16">
        <f t="shared" si="1"/>
        <v>1521</v>
      </c>
      <c r="D246" s="16">
        <f t="shared" si="4"/>
        <v>1497</v>
      </c>
      <c r="E246" s="16">
        <f t="shared" si="5"/>
        <v>1431</v>
      </c>
      <c r="F246" s="16">
        <f t="shared" si="2"/>
        <v>164</v>
      </c>
      <c r="G246" s="16">
        <f t="shared" si="3"/>
        <v>26896</v>
      </c>
    </row>
    <row r="247">
      <c r="A247" s="20">
        <v>44045.0</v>
      </c>
      <c r="B247" s="21">
        <v>1497.0</v>
      </c>
      <c r="C247" s="16">
        <f t="shared" si="1"/>
        <v>1521</v>
      </c>
      <c r="D247" s="16">
        <f t="shared" si="4"/>
        <v>1497</v>
      </c>
      <c r="E247" s="16">
        <f t="shared" si="5"/>
        <v>1431</v>
      </c>
      <c r="F247" s="16">
        <f t="shared" si="2"/>
        <v>-24</v>
      </c>
      <c r="G247" s="16">
        <f t="shared" si="3"/>
        <v>576</v>
      </c>
    </row>
    <row r="248">
      <c r="A248" s="20">
        <v>44046.0</v>
      </c>
      <c r="B248" s="21">
        <v>1311.0</v>
      </c>
      <c r="C248" s="16">
        <f t="shared" si="1"/>
        <v>1521</v>
      </c>
      <c r="D248" s="16">
        <f t="shared" si="4"/>
        <v>1431</v>
      </c>
      <c r="E248" s="16">
        <f t="shared" si="5"/>
        <v>1497</v>
      </c>
      <c r="F248" s="16">
        <f t="shared" si="2"/>
        <v>-210</v>
      </c>
      <c r="G248" s="16">
        <f t="shared" si="3"/>
        <v>44100</v>
      </c>
    </row>
    <row r="249">
      <c r="A249" s="20">
        <v>44047.0</v>
      </c>
      <c r="B249" s="21">
        <v>1431.0</v>
      </c>
      <c r="C249" s="16">
        <f t="shared" si="1"/>
        <v>1521</v>
      </c>
      <c r="D249" s="16">
        <f t="shared" si="4"/>
        <v>1431</v>
      </c>
      <c r="E249" s="16">
        <f t="shared" si="5"/>
        <v>1497</v>
      </c>
      <c r="F249" s="16">
        <f t="shared" si="2"/>
        <v>-90</v>
      </c>
      <c r="G249" s="16">
        <f t="shared" si="3"/>
        <v>8100</v>
      </c>
    </row>
    <row r="250">
      <c r="A250" s="20">
        <v>44048.0</v>
      </c>
      <c r="B250" s="21">
        <v>1671.0</v>
      </c>
      <c r="C250" s="16">
        <f t="shared" si="1"/>
        <v>1521</v>
      </c>
      <c r="D250" s="16">
        <f t="shared" si="4"/>
        <v>1580</v>
      </c>
      <c r="E250" s="16">
        <f t="shared" si="5"/>
        <v>1497</v>
      </c>
      <c r="F250" s="16">
        <f t="shared" si="2"/>
        <v>150</v>
      </c>
      <c r="G250" s="16">
        <f t="shared" si="3"/>
        <v>22500</v>
      </c>
    </row>
    <row r="251">
      <c r="A251" s="20">
        <v>44049.0</v>
      </c>
      <c r="B251" s="21">
        <v>1580.0</v>
      </c>
      <c r="C251" s="16">
        <f t="shared" si="1"/>
        <v>1521</v>
      </c>
      <c r="D251" s="16">
        <f t="shared" si="4"/>
        <v>1580</v>
      </c>
      <c r="E251" s="16">
        <f t="shared" si="5"/>
        <v>1498</v>
      </c>
      <c r="F251" s="16">
        <f t="shared" si="2"/>
        <v>59</v>
      </c>
      <c r="G251" s="16">
        <f t="shared" si="3"/>
        <v>3481</v>
      </c>
    </row>
    <row r="252">
      <c r="A252" s="20">
        <v>44050.0</v>
      </c>
      <c r="B252" s="21">
        <v>1479.0</v>
      </c>
      <c r="C252" s="16">
        <f t="shared" si="1"/>
        <v>1521</v>
      </c>
      <c r="D252" s="16">
        <f t="shared" si="4"/>
        <v>1498</v>
      </c>
      <c r="E252" s="16">
        <f t="shared" si="5"/>
        <v>1580</v>
      </c>
      <c r="F252" s="16">
        <f t="shared" si="2"/>
        <v>-42</v>
      </c>
      <c r="G252" s="16">
        <f t="shared" si="3"/>
        <v>1764</v>
      </c>
    </row>
    <row r="253">
      <c r="A253" s="20">
        <v>44051.0</v>
      </c>
      <c r="B253" s="21">
        <v>1498.0</v>
      </c>
      <c r="C253" s="16">
        <f t="shared" si="1"/>
        <v>1521</v>
      </c>
      <c r="D253" s="16">
        <f t="shared" si="4"/>
        <v>1498</v>
      </c>
      <c r="E253" s="16">
        <f t="shared" si="5"/>
        <v>1580</v>
      </c>
      <c r="F253" s="16">
        <f t="shared" si="2"/>
        <v>-23</v>
      </c>
      <c r="G253" s="16">
        <f t="shared" si="3"/>
        <v>529</v>
      </c>
    </row>
    <row r="254">
      <c r="A254" s="20">
        <v>44052.0</v>
      </c>
      <c r="B254" s="21">
        <v>1649.0</v>
      </c>
      <c r="C254" s="16">
        <f t="shared" si="1"/>
        <v>1521</v>
      </c>
      <c r="D254" s="16">
        <f t="shared" si="4"/>
        <v>1649</v>
      </c>
      <c r="E254" s="16">
        <f t="shared" si="5"/>
        <v>1580</v>
      </c>
      <c r="F254" s="16">
        <f t="shared" si="2"/>
        <v>128</v>
      </c>
      <c r="G254" s="16">
        <f t="shared" si="3"/>
        <v>16384</v>
      </c>
    </row>
    <row r="255">
      <c r="A255" s="20">
        <v>44053.0</v>
      </c>
      <c r="B255" s="21">
        <v>1692.0</v>
      </c>
      <c r="C255" s="16">
        <f t="shared" si="1"/>
        <v>1521</v>
      </c>
      <c r="D255" s="16">
        <f t="shared" si="4"/>
        <v>1649</v>
      </c>
      <c r="E255" s="16">
        <f t="shared" si="5"/>
        <v>1649</v>
      </c>
      <c r="F255" s="16">
        <f t="shared" si="2"/>
        <v>171</v>
      </c>
      <c r="G255" s="16">
        <f t="shared" si="3"/>
        <v>29241</v>
      </c>
    </row>
    <row r="256">
      <c r="A256" s="20">
        <v>44054.0</v>
      </c>
      <c r="B256" s="21">
        <v>1549.0</v>
      </c>
      <c r="C256" s="16">
        <f t="shared" si="1"/>
        <v>1521</v>
      </c>
      <c r="D256" s="16">
        <f t="shared" si="4"/>
        <v>1660</v>
      </c>
      <c r="E256" s="16">
        <f t="shared" si="5"/>
        <v>1660</v>
      </c>
      <c r="F256" s="16">
        <f t="shared" si="2"/>
        <v>28</v>
      </c>
      <c r="G256" s="16">
        <f t="shared" si="3"/>
        <v>784</v>
      </c>
    </row>
    <row r="257">
      <c r="A257" s="20">
        <v>44055.0</v>
      </c>
      <c r="B257" s="21">
        <v>1660.0</v>
      </c>
      <c r="C257" s="16">
        <f t="shared" si="1"/>
        <v>1521</v>
      </c>
      <c r="D257" s="16">
        <f t="shared" si="4"/>
        <v>1660</v>
      </c>
      <c r="E257" s="16">
        <f t="shared" si="5"/>
        <v>1660</v>
      </c>
      <c r="F257" s="16">
        <f t="shared" si="2"/>
        <v>139</v>
      </c>
      <c r="G257" s="16">
        <f t="shared" si="3"/>
        <v>19321</v>
      </c>
    </row>
    <row r="258">
      <c r="A258" s="20">
        <v>44056.0</v>
      </c>
      <c r="B258" s="21">
        <v>1680.0</v>
      </c>
      <c r="C258" s="16">
        <f t="shared" si="1"/>
        <v>1521</v>
      </c>
      <c r="D258" s="16">
        <f t="shared" si="4"/>
        <v>1680</v>
      </c>
      <c r="E258" s="16">
        <f t="shared" si="5"/>
        <v>1660</v>
      </c>
      <c r="F258" s="16">
        <f t="shared" si="2"/>
        <v>159</v>
      </c>
      <c r="G258" s="16">
        <f t="shared" si="3"/>
        <v>25281</v>
      </c>
    </row>
    <row r="259">
      <c r="A259" s="20">
        <v>44057.0</v>
      </c>
      <c r="B259" s="21">
        <v>1770.0</v>
      </c>
      <c r="C259" s="16">
        <f t="shared" si="1"/>
        <v>1521</v>
      </c>
      <c r="D259" s="16">
        <f t="shared" si="4"/>
        <v>1680</v>
      </c>
      <c r="E259" s="16">
        <f t="shared" si="5"/>
        <v>1660</v>
      </c>
      <c r="F259" s="16">
        <f t="shared" si="2"/>
        <v>249</v>
      </c>
      <c r="G259" s="16">
        <f t="shared" si="3"/>
        <v>62001</v>
      </c>
    </row>
    <row r="260">
      <c r="A260" s="20">
        <v>44058.0</v>
      </c>
      <c r="B260" s="21">
        <v>1275.0</v>
      </c>
      <c r="C260" s="16">
        <f t="shared" si="1"/>
        <v>1521</v>
      </c>
      <c r="D260" s="16">
        <f t="shared" si="4"/>
        <v>1340</v>
      </c>
      <c r="E260" s="16">
        <f t="shared" si="5"/>
        <v>1660</v>
      </c>
      <c r="F260" s="16">
        <f t="shared" si="2"/>
        <v>-246</v>
      </c>
      <c r="G260" s="16">
        <f t="shared" si="3"/>
        <v>60516</v>
      </c>
    </row>
    <row r="261">
      <c r="A261" s="20">
        <v>44059.0</v>
      </c>
      <c r="B261" s="21">
        <v>1340.0</v>
      </c>
      <c r="C261" s="16">
        <f t="shared" si="1"/>
        <v>1521</v>
      </c>
      <c r="D261" s="16">
        <f t="shared" si="4"/>
        <v>1340</v>
      </c>
      <c r="E261" s="16">
        <f t="shared" si="5"/>
        <v>1620</v>
      </c>
      <c r="F261" s="16">
        <f t="shared" si="2"/>
        <v>-181</v>
      </c>
      <c r="G261" s="16">
        <f t="shared" si="3"/>
        <v>32761</v>
      </c>
    </row>
    <row r="262">
      <c r="A262" s="20">
        <v>44060.0</v>
      </c>
      <c r="B262" s="21">
        <v>1695.0</v>
      </c>
      <c r="C262" s="16">
        <f t="shared" si="1"/>
        <v>1521</v>
      </c>
      <c r="D262" s="16">
        <f t="shared" si="4"/>
        <v>1620</v>
      </c>
      <c r="E262" s="16">
        <f t="shared" si="5"/>
        <v>1620</v>
      </c>
      <c r="F262" s="16">
        <f t="shared" si="2"/>
        <v>174</v>
      </c>
      <c r="G262" s="16">
        <f t="shared" si="3"/>
        <v>30276</v>
      </c>
    </row>
    <row r="263">
      <c r="A263" s="20">
        <v>44061.0</v>
      </c>
      <c r="B263" s="21">
        <v>1620.0</v>
      </c>
      <c r="C263" s="16">
        <f t="shared" si="1"/>
        <v>1521</v>
      </c>
      <c r="D263" s="16">
        <f t="shared" si="4"/>
        <v>1620</v>
      </c>
      <c r="E263" s="16">
        <f t="shared" si="5"/>
        <v>1524</v>
      </c>
      <c r="F263" s="16">
        <f t="shared" si="2"/>
        <v>99</v>
      </c>
      <c r="G263" s="16">
        <f t="shared" si="3"/>
        <v>9801</v>
      </c>
    </row>
    <row r="264">
      <c r="A264" s="20">
        <v>44062.0</v>
      </c>
      <c r="B264" s="21">
        <v>1411.0</v>
      </c>
      <c r="C264" s="16">
        <f t="shared" si="1"/>
        <v>1521</v>
      </c>
      <c r="D264" s="16">
        <f t="shared" si="4"/>
        <v>1620</v>
      </c>
      <c r="E264" s="16">
        <f t="shared" si="5"/>
        <v>1524</v>
      </c>
      <c r="F264" s="16">
        <f t="shared" si="2"/>
        <v>-110</v>
      </c>
      <c r="G264" s="16">
        <f t="shared" si="3"/>
        <v>12100</v>
      </c>
    </row>
    <row r="265">
      <c r="A265" s="20">
        <v>44063.0</v>
      </c>
      <c r="B265" s="21">
        <v>1721.0</v>
      </c>
      <c r="C265" s="16">
        <f t="shared" si="1"/>
        <v>1521</v>
      </c>
      <c r="D265" s="16">
        <f t="shared" si="4"/>
        <v>1524</v>
      </c>
      <c r="E265" s="16">
        <f t="shared" si="5"/>
        <v>1524</v>
      </c>
      <c r="F265" s="16">
        <f t="shared" si="2"/>
        <v>200</v>
      </c>
      <c r="G265" s="16">
        <f t="shared" si="3"/>
        <v>40000</v>
      </c>
    </row>
    <row r="266">
      <c r="A266" s="20">
        <v>44064.0</v>
      </c>
      <c r="B266" s="21">
        <v>1524.0</v>
      </c>
      <c r="C266" s="16">
        <f t="shared" si="1"/>
        <v>1521</v>
      </c>
      <c r="D266" s="16">
        <f t="shared" si="4"/>
        <v>1524</v>
      </c>
      <c r="E266" s="16">
        <f t="shared" si="5"/>
        <v>1524</v>
      </c>
      <c r="F266" s="16">
        <f t="shared" si="2"/>
        <v>3</v>
      </c>
      <c r="G266" s="16">
        <f t="shared" si="3"/>
        <v>9</v>
      </c>
    </row>
    <row r="267">
      <c r="A267" s="20">
        <v>44065.0</v>
      </c>
      <c r="B267" s="21">
        <v>1430.0</v>
      </c>
      <c r="C267" s="16">
        <f t="shared" si="1"/>
        <v>1521</v>
      </c>
      <c r="D267" s="16">
        <f t="shared" si="4"/>
        <v>1448</v>
      </c>
      <c r="E267" s="16">
        <f t="shared" si="5"/>
        <v>1524</v>
      </c>
      <c r="F267" s="16">
        <f t="shared" si="2"/>
        <v>-91</v>
      </c>
      <c r="G267" s="16">
        <f t="shared" si="3"/>
        <v>8281</v>
      </c>
    </row>
    <row r="268">
      <c r="A268" s="20">
        <v>44066.0</v>
      </c>
      <c r="B268" s="21">
        <v>1448.0</v>
      </c>
      <c r="C268" s="16">
        <f t="shared" si="1"/>
        <v>1521</v>
      </c>
      <c r="D268" s="16">
        <f t="shared" si="4"/>
        <v>1448</v>
      </c>
      <c r="E268" s="16">
        <f t="shared" si="5"/>
        <v>1524</v>
      </c>
      <c r="F268" s="16">
        <f t="shared" si="2"/>
        <v>-73</v>
      </c>
      <c r="G268" s="16">
        <f t="shared" si="3"/>
        <v>5329</v>
      </c>
    </row>
    <row r="269">
      <c r="A269" s="20">
        <v>44067.0</v>
      </c>
      <c r="B269" s="21">
        <v>1674.0</v>
      </c>
      <c r="C269" s="16">
        <f t="shared" si="1"/>
        <v>1521</v>
      </c>
      <c r="D269" s="16">
        <f t="shared" si="4"/>
        <v>1529</v>
      </c>
      <c r="E269" s="16">
        <f t="shared" si="5"/>
        <v>1524</v>
      </c>
      <c r="F269" s="16">
        <f t="shared" si="2"/>
        <v>153</v>
      </c>
      <c r="G269" s="16">
        <f t="shared" si="3"/>
        <v>23409</v>
      </c>
    </row>
    <row r="270">
      <c r="A270" s="20">
        <v>44068.0</v>
      </c>
      <c r="B270" s="21">
        <v>1529.0</v>
      </c>
      <c r="C270" s="16">
        <f t="shared" si="1"/>
        <v>1521</v>
      </c>
      <c r="D270" s="16">
        <f t="shared" si="4"/>
        <v>1529</v>
      </c>
      <c r="E270" s="16">
        <f t="shared" si="5"/>
        <v>1529</v>
      </c>
      <c r="F270" s="16">
        <f t="shared" si="2"/>
        <v>8</v>
      </c>
      <c r="G270" s="16">
        <f t="shared" si="3"/>
        <v>64</v>
      </c>
    </row>
    <row r="271">
      <c r="A271" s="20">
        <v>44069.0</v>
      </c>
      <c r="B271" s="21">
        <v>1426.0</v>
      </c>
      <c r="C271" s="16">
        <f t="shared" si="1"/>
        <v>1521</v>
      </c>
      <c r="D271" s="16">
        <f t="shared" si="4"/>
        <v>1529</v>
      </c>
      <c r="E271" s="16">
        <f t="shared" si="5"/>
        <v>1575</v>
      </c>
      <c r="F271" s="16">
        <f t="shared" si="2"/>
        <v>-95</v>
      </c>
      <c r="G271" s="16">
        <f t="shared" si="3"/>
        <v>9025</v>
      </c>
    </row>
    <row r="272">
      <c r="A272" s="20">
        <v>44070.0</v>
      </c>
      <c r="B272" s="21">
        <v>1759.0</v>
      </c>
      <c r="C272" s="16">
        <f t="shared" si="1"/>
        <v>1521</v>
      </c>
      <c r="D272" s="16">
        <f t="shared" si="4"/>
        <v>1759</v>
      </c>
      <c r="E272" s="16">
        <f t="shared" si="5"/>
        <v>1575</v>
      </c>
      <c r="F272" s="16">
        <f t="shared" si="2"/>
        <v>238</v>
      </c>
      <c r="G272" s="16">
        <f t="shared" si="3"/>
        <v>56644</v>
      </c>
    </row>
    <row r="273">
      <c r="A273" s="20">
        <v>44071.0</v>
      </c>
      <c r="B273" s="21">
        <v>1761.0</v>
      </c>
      <c r="C273" s="16">
        <f t="shared" si="1"/>
        <v>1521</v>
      </c>
      <c r="D273" s="16">
        <f t="shared" si="4"/>
        <v>1759</v>
      </c>
      <c r="E273" s="16">
        <f t="shared" si="5"/>
        <v>1529</v>
      </c>
      <c r="F273" s="16">
        <f t="shared" si="2"/>
        <v>240</v>
      </c>
      <c r="G273" s="16">
        <f t="shared" si="3"/>
        <v>57600</v>
      </c>
    </row>
    <row r="274">
      <c r="A274" s="20">
        <v>44072.0</v>
      </c>
      <c r="B274" s="21">
        <v>1575.0</v>
      </c>
      <c r="C274" s="16">
        <f t="shared" si="1"/>
        <v>1521</v>
      </c>
      <c r="D274" s="16">
        <f t="shared" si="4"/>
        <v>1575</v>
      </c>
      <c r="E274" s="16">
        <f t="shared" si="5"/>
        <v>1514</v>
      </c>
      <c r="F274" s="16">
        <f t="shared" si="2"/>
        <v>54</v>
      </c>
      <c r="G274" s="16">
        <f t="shared" si="3"/>
        <v>2916</v>
      </c>
    </row>
    <row r="275">
      <c r="A275" s="20">
        <v>44073.0</v>
      </c>
      <c r="B275" s="21">
        <v>1405.0</v>
      </c>
      <c r="C275" s="16">
        <f t="shared" si="1"/>
        <v>1521</v>
      </c>
      <c r="D275" s="16">
        <f t="shared" si="4"/>
        <v>1514</v>
      </c>
      <c r="E275" s="16">
        <f t="shared" si="5"/>
        <v>1514</v>
      </c>
      <c r="F275" s="16">
        <f t="shared" si="2"/>
        <v>-116</v>
      </c>
      <c r="G275" s="16">
        <f t="shared" si="3"/>
        <v>13456</v>
      </c>
    </row>
    <row r="276">
      <c r="A276" s="20">
        <v>44074.0</v>
      </c>
      <c r="B276" s="21">
        <v>1514.0</v>
      </c>
      <c r="C276" s="16">
        <f t="shared" si="1"/>
        <v>1521</v>
      </c>
      <c r="D276" s="16">
        <f t="shared" si="4"/>
        <v>1405</v>
      </c>
      <c r="E276" s="16">
        <f t="shared" si="5"/>
        <v>1410</v>
      </c>
      <c r="F276" s="16">
        <f t="shared" si="2"/>
        <v>-7</v>
      </c>
      <c r="G276" s="16">
        <f t="shared" si="3"/>
        <v>49</v>
      </c>
    </row>
    <row r="277">
      <c r="A277" s="20">
        <v>44075.0</v>
      </c>
      <c r="B277" s="21">
        <v>1370.0</v>
      </c>
      <c r="C277" s="16">
        <f t="shared" si="1"/>
        <v>1521</v>
      </c>
      <c r="D277" s="16">
        <f t="shared" si="4"/>
        <v>1390</v>
      </c>
      <c r="E277" s="16">
        <f t="shared" si="5"/>
        <v>1410</v>
      </c>
      <c r="F277" s="16">
        <f t="shared" si="2"/>
        <v>-151</v>
      </c>
      <c r="G277" s="16">
        <f t="shared" si="3"/>
        <v>22801</v>
      </c>
    </row>
    <row r="278">
      <c r="A278" s="20">
        <v>44076.0</v>
      </c>
      <c r="B278" s="21">
        <v>1390.0</v>
      </c>
      <c r="C278" s="16">
        <f t="shared" si="1"/>
        <v>1521</v>
      </c>
      <c r="D278" s="16">
        <f t="shared" si="4"/>
        <v>1390</v>
      </c>
      <c r="E278" s="16">
        <f t="shared" si="5"/>
        <v>1410</v>
      </c>
      <c r="F278" s="16">
        <f t="shared" si="2"/>
        <v>-131</v>
      </c>
      <c r="G278" s="16">
        <f t="shared" si="3"/>
        <v>17161</v>
      </c>
    </row>
    <row r="279">
      <c r="A279" s="20">
        <v>44077.0</v>
      </c>
      <c r="B279" s="21">
        <v>1410.0</v>
      </c>
      <c r="C279" s="16">
        <f t="shared" si="1"/>
        <v>1521</v>
      </c>
      <c r="D279" s="16">
        <f t="shared" si="4"/>
        <v>1410</v>
      </c>
      <c r="E279" s="16">
        <f t="shared" si="5"/>
        <v>1417</v>
      </c>
      <c r="F279" s="16">
        <f t="shared" si="2"/>
        <v>-111</v>
      </c>
      <c r="G279" s="16">
        <f t="shared" si="3"/>
        <v>12321</v>
      </c>
    </row>
    <row r="280">
      <c r="A280" s="20">
        <v>44078.0</v>
      </c>
      <c r="B280" s="21">
        <v>1417.0</v>
      </c>
      <c r="C280" s="16">
        <f t="shared" si="1"/>
        <v>1521</v>
      </c>
      <c r="D280" s="16">
        <f t="shared" si="4"/>
        <v>1417</v>
      </c>
      <c r="E280" s="16">
        <f t="shared" si="5"/>
        <v>1417</v>
      </c>
      <c r="F280" s="16">
        <f t="shared" si="2"/>
        <v>-104</v>
      </c>
      <c r="G280" s="16">
        <f t="shared" si="3"/>
        <v>10816</v>
      </c>
    </row>
    <row r="281">
      <c r="A281" s="20">
        <v>44079.0</v>
      </c>
      <c r="B281" s="21">
        <v>1611.0</v>
      </c>
      <c r="C281" s="16">
        <f t="shared" si="1"/>
        <v>1521</v>
      </c>
      <c r="D281" s="16">
        <f t="shared" si="4"/>
        <v>1547</v>
      </c>
      <c r="E281" s="16">
        <f t="shared" si="5"/>
        <v>1420</v>
      </c>
      <c r="F281" s="16">
        <f t="shared" si="2"/>
        <v>90</v>
      </c>
      <c r="G281" s="16">
        <f t="shared" si="3"/>
        <v>8100</v>
      </c>
    </row>
    <row r="282">
      <c r="A282" s="20">
        <v>44080.0</v>
      </c>
      <c r="B282" s="21">
        <v>1547.0</v>
      </c>
      <c r="C282" s="16">
        <f t="shared" si="1"/>
        <v>1521</v>
      </c>
      <c r="D282" s="16">
        <f t="shared" si="4"/>
        <v>1611</v>
      </c>
      <c r="E282" s="16">
        <f t="shared" si="5"/>
        <v>1420</v>
      </c>
      <c r="F282" s="16">
        <f t="shared" si="2"/>
        <v>26</v>
      </c>
      <c r="G282" s="16">
        <f t="shared" si="3"/>
        <v>676</v>
      </c>
    </row>
    <row r="283">
      <c r="A283" s="20">
        <v>44081.0</v>
      </c>
      <c r="B283" s="21">
        <v>1662.0</v>
      </c>
      <c r="C283" s="16">
        <f t="shared" si="1"/>
        <v>1521</v>
      </c>
      <c r="D283" s="16">
        <f t="shared" si="4"/>
        <v>1547</v>
      </c>
      <c r="F283" s="16">
        <f t="shared" si="2"/>
        <v>141</v>
      </c>
      <c r="G283" s="16">
        <f t="shared" si="3"/>
        <v>19881</v>
      </c>
    </row>
    <row r="284">
      <c r="A284" s="20">
        <v>44082.0</v>
      </c>
      <c r="B284" s="21">
        <v>1420.0</v>
      </c>
      <c r="C284" s="16">
        <f t="shared" si="1"/>
        <v>1521</v>
      </c>
      <c r="D284" s="16">
        <f t="shared" si="4"/>
        <v>1420</v>
      </c>
      <c r="F284" s="16">
        <f t="shared" si="2"/>
        <v>-101</v>
      </c>
      <c r="G284" s="16">
        <f t="shared" si="3"/>
        <v>10201</v>
      </c>
    </row>
    <row r="285">
      <c r="A285" s="20">
        <v>44083.0</v>
      </c>
      <c r="B285" s="21">
        <v>1387.0</v>
      </c>
      <c r="C285" s="16">
        <f t="shared" si="1"/>
        <v>1521</v>
      </c>
      <c r="F285" s="16">
        <f t="shared" si="2"/>
        <v>-134</v>
      </c>
      <c r="G285" s="16">
        <f t="shared" si="3"/>
        <v>17956</v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6.5"/>
    <col customWidth="1" min="3" max="26" width="14.38"/>
  </cols>
  <sheetData>
    <row r="1" ht="15.75" customHeight="1">
      <c r="A1" s="22" t="s">
        <v>34</v>
      </c>
      <c r="B1" s="22" t="s">
        <v>25</v>
      </c>
    </row>
    <row r="2" ht="15.75" customHeight="1">
      <c r="A2" s="15">
        <v>43647.0</v>
      </c>
      <c r="B2" s="9">
        <v>45.0</v>
      </c>
    </row>
    <row r="3" ht="15.75" customHeight="1">
      <c r="A3" s="15">
        <v>43648.0</v>
      </c>
      <c r="B3" s="9">
        <v>46.0</v>
      </c>
    </row>
    <row r="4" ht="15.75" customHeight="1">
      <c r="A4" s="15">
        <v>43649.0</v>
      </c>
      <c r="B4" s="9">
        <v>48.0</v>
      </c>
    </row>
    <row r="5" ht="15.75" customHeight="1">
      <c r="A5" s="15">
        <v>43650.0</v>
      </c>
      <c r="B5" s="9">
        <v>43.0</v>
      </c>
    </row>
    <row r="6" ht="15.75" customHeight="1">
      <c r="A6" s="15">
        <v>43651.0</v>
      </c>
      <c r="B6" s="9">
        <v>45.0</v>
      </c>
    </row>
    <row r="7" ht="15.75" customHeight="1">
      <c r="A7" s="15">
        <v>43652.0</v>
      </c>
      <c r="B7" s="9">
        <v>10.0</v>
      </c>
    </row>
    <row r="8" ht="15.75" customHeight="1">
      <c r="A8" s="15">
        <v>43653.0</v>
      </c>
      <c r="B8" s="9">
        <v>13.0</v>
      </c>
    </row>
    <row r="9" ht="15.75" customHeight="1">
      <c r="A9" s="15">
        <v>43654.0</v>
      </c>
      <c r="B9" s="9">
        <v>51.0</v>
      </c>
    </row>
    <row r="10" ht="15.75" customHeight="1">
      <c r="A10" s="15">
        <v>43655.0</v>
      </c>
      <c r="B10" s="9">
        <v>45.0</v>
      </c>
    </row>
    <row r="11" ht="15.75" customHeight="1">
      <c r="A11" s="15">
        <v>43656.0</v>
      </c>
      <c r="B11" s="9">
        <v>47.0</v>
      </c>
    </row>
    <row r="12" ht="15.75" customHeight="1">
      <c r="A12" s="15">
        <v>43657.0</v>
      </c>
      <c r="B12" s="9">
        <v>43.0</v>
      </c>
    </row>
    <row r="13" ht="15.75" customHeight="1">
      <c r="A13" s="15">
        <v>43658.0</v>
      </c>
      <c r="B13" s="9">
        <v>53.0</v>
      </c>
    </row>
    <row r="14" ht="15.75" customHeight="1">
      <c r="A14" s="15">
        <v>43659.0</v>
      </c>
      <c r="B14" s="9">
        <v>11.0</v>
      </c>
    </row>
    <row r="15" ht="15.75" customHeight="1">
      <c r="A15" s="15">
        <v>43660.0</v>
      </c>
      <c r="B15" s="9">
        <v>13.0</v>
      </c>
    </row>
    <row r="16" ht="15.75" customHeight="1">
      <c r="A16" s="15">
        <v>43661.0</v>
      </c>
      <c r="B16" s="9">
        <v>46.0</v>
      </c>
    </row>
    <row r="17" ht="15.75" customHeight="1">
      <c r="A17" s="15">
        <v>43662.0</v>
      </c>
      <c r="B17" s="9">
        <v>51.0</v>
      </c>
    </row>
    <row r="18" ht="15.75" customHeight="1">
      <c r="A18" s="15">
        <v>43663.0</v>
      </c>
      <c r="B18" s="9">
        <v>52.0</v>
      </c>
    </row>
    <row r="19" ht="15.75" customHeight="1">
      <c r="A19" s="15">
        <v>43664.0</v>
      </c>
      <c r="B19" s="9">
        <v>54.0</v>
      </c>
    </row>
    <row r="20" ht="15.75" customHeight="1">
      <c r="A20" s="15">
        <v>43665.0</v>
      </c>
      <c r="B20" s="9">
        <v>47.0</v>
      </c>
    </row>
    <row r="21" ht="15.75" customHeight="1">
      <c r="A21" s="15">
        <v>43666.0</v>
      </c>
      <c r="B21" s="9">
        <v>10.0</v>
      </c>
    </row>
    <row r="22" ht="15.75" customHeight="1">
      <c r="A22" s="15">
        <v>43667.0</v>
      </c>
      <c r="B22" s="9">
        <v>10.0</v>
      </c>
    </row>
    <row r="23" ht="15.75" customHeight="1">
      <c r="A23" s="15">
        <v>43668.0</v>
      </c>
      <c r="B23" s="9">
        <v>48.0</v>
      </c>
    </row>
    <row r="24" ht="15.75" customHeight="1">
      <c r="A24" s="15">
        <v>43669.0</v>
      </c>
      <c r="B24" s="9">
        <v>53.0</v>
      </c>
    </row>
    <row r="25" ht="15.75" customHeight="1">
      <c r="A25" s="15">
        <v>43670.0</v>
      </c>
      <c r="B25" s="9">
        <v>51.0</v>
      </c>
    </row>
    <row r="26" ht="15.75" customHeight="1">
      <c r="A26" s="15">
        <v>43671.0</v>
      </c>
      <c r="B26" s="9">
        <v>54.0</v>
      </c>
    </row>
    <row r="27" ht="15.75" customHeight="1">
      <c r="A27" s="15">
        <v>43672.0</v>
      </c>
      <c r="B27" s="9">
        <v>52.0</v>
      </c>
    </row>
    <row r="28" ht="15.75" customHeight="1">
      <c r="A28" s="15">
        <v>43673.0</v>
      </c>
      <c r="B28" s="9">
        <v>50.0</v>
      </c>
    </row>
    <row r="29" ht="15.75" customHeight="1">
      <c r="A29" s="15">
        <v>43674.0</v>
      </c>
      <c r="B29" s="9">
        <v>12.0</v>
      </c>
    </row>
    <row r="30" ht="15.75" customHeight="1">
      <c r="A30" s="15">
        <v>43675.0</v>
      </c>
      <c r="B30" s="9">
        <v>11.0</v>
      </c>
    </row>
    <row r="31" ht="15.75" customHeight="1">
      <c r="A31" s="15">
        <v>43676.0</v>
      </c>
      <c r="B31" s="9">
        <v>50.0</v>
      </c>
    </row>
    <row r="32" ht="15.75" customHeight="1">
      <c r="A32" s="15">
        <v>43677.0</v>
      </c>
      <c r="B32" s="9">
        <v>51.0</v>
      </c>
    </row>
    <row r="33" ht="15.75" customHeight="1">
      <c r="A33" s="15">
        <v>43678.0</v>
      </c>
      <c r="B33" s="9">
        <v>54.0</v>
      </c>
    </row>
    <row r="34" ht="15.75" customHeight="1">
      <c r="A34" s="15">
        <v>43679.0</v>
      </c>
      <c r="B34" s="9">
        <v>53.0</v>
      </c>
    </row>
    <row r="35" ht="15.75" customHeight="1">
      <c r="A35" s="15">
        <v>43680.0</v>
      </c>
      <c r="B35" s="9">
        <v>55.0</v>
      </c>
    </row>
    <row r="36" ht="15.75" customHeight="1">
      <c r="A36" s="15">
        <v>43681.0</v>
      </c>
      <c r="B36" s="9">
        <v>11.0</v>
      </c>
    </row>
    <row r="37" ht="15.75" customHeight="1">
      <c r="A37" s="15">
        <v>43682.0</v>
      </c>
      <c r="B37" s="9">
        <v>13.0</v>
      </c>
    </row>
    <row r="38" ht="15.75" customHeight="1">
      <c r="A38" s="15">
        <v>43683.0</v>
      </c>
      <c r="B38" s="9">
        <v>54.0</v>
      </c>
    </row>
    <row r="39" ht="15.75" customHeight="1">
      <c r="A39" s="15">
        <v>43684.0</v>
      </c>
      <c r="B39" s="9">
        <v>57.0</v>
      </c>
    </row>
    <row r="40" ht="15.75" customHeight="1">
      <c r="A40" s="15">
        <v>43685.0</v>
      </c>
      <c r="B40" s="9">
        <v>58.0</v>
      </c>
    </row>
    <row r="41" ht="15.75" customHeight="1">
      <c r="A41" s="15">
        <v>43686.0</v>
      </c>
      <c r="B41" s="9">
        <v>49.0</v>
      </c>
    </row>
    <row r="42" ht="15.75" customHeight="1">
      <c r="A42" s="15">
        <v>43687.0</v>
      </c>
      <c r="B42" s="9">
        <v>51.0</v>
      </c>
    </row>
    <row r="43" ht="15.75" customHeight="1">
      <c r="A43" s="15">
        <v>43688.0</v>
      </c>
      <c r="B43" s="9">
        <v>10.0</v>
      </c>
    </row>
    <row r="44" ht="15.75" customHeight="1">
      <c r="A44" s="15">
        <v>43689.0</v>
      </c>
      <c r="B44" s="9">
        <v>10.0</v>
      </c>
    </row>
    <row r="45" ht="15.75" customHeight="1">
      <c r="A45" s="15">
        <v>43690.0</v>
      </c>
      <c r="B45" s="9">
        <v>49.0</v>
      </c>
    </row>
    <row r="46" ht="15.75" customHeight="1">
      <c r="A46" s="15">
        <v>43691.0</v>
      </c>
      <c r="B46" s="9">
        <v>47.0</v>
      </c>
    </row>
    <row r="47" ht="15.75" customHeight="1">
      <c r="A47" s="15">
        <v>43692.0</v>
      </c>
      <c r="B47" s="9">
        <v>55.0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25"/>
    <col customWidth="1" min="3" max="3" width="8.88"/>
    <col customWidth="1" min="4" max="4" width="18.25"/>
    <col customWidth="1" min="5" max="26" width="14.38"/>
  </cols>
  <sheetData>
    <row r="1">
      <c r="A1" s="23" t="s">
        <v>46</v>
      </c>
      <c r="B1" s="23" t="s">
        <v>47</v>
      </c>
      <c r="C1" s="23" t="s">
        <v>48</v>
      </c>
      <c r="D1" s="24" t="s">
        <v>49</v>
      </c>
    </row>
    <row r="2">
      <c r="A2" s="15">
        <v>43466.0</v>
      </c>
      <c r="B2" s="9">
        <v>1215.0</v>
      </c>
      <c r="C2" s="9">
        <v>22.0</v>
      </c>
      <c r="D2" s="25">
        <f t="shared" ref="D2:D21" si="1">B2/C2</f>
        <v>55.22727273</v>
      </c>
    </row>
    <row r="3">
      <c r="A3" s="15">
        <v>43497.0</v>
      </c>
      <c r="B3" s="9">
        <v>1215.0</v>
      </c>
      <c r="C3" s="9">
        <v>20.0</v>
      </c>
      <c r="D3" s="25">
        <f t="shared" si="1"/>
        <v>60.75</v>
      </c>
    </row>
    <row r="4">
      <c r="A4" s="15">
        <v>43525.0</v>
      </c>
      <c r="B4" s="9">
        <v>1300.0</v>
      </c>
      <c r="C4" s="9">
        <v>20.0</v>
      </c>
      <c r="D4" s="25">
        <f t="shared" si="1"/>
        <v>65</v>
      </c>
    </row>
    <row r="5">
      <c r="A5" s="15">
        <v>43556.0</v>
      </c>
      <c r="B5" s="9">
        <v>1450.0</v>
      </c>
      <c r="C5" s="9">
        <v>21.0</v>
      </c>
      <c r="D5" s="25">
        <f t="shared" si="1"/>
        <v>69.04761905</v>
      </c>
    </row>
    <row r="6">
      <c r="A6" s="15">
        <v>43586.0</v>
      </c>
      <c r="B6" s="9">
        <v>1600.0</v>
      </c>
      <c r="C6" s="9">
        <v>22.0</v>
      </c>
      <c r="D6" s="25">
        <f t="shared" si="1"/>
        <v>72.72727273</v>
      </c>
    </row>
    <row r="7">
      <c r="A7" s="15">
        <v>43617.0</v>
      </c>
      <c r="B7" s="9">
        <v>1600.0</v>
      </c>
      <c r="C7" s="9">
        <v>20.0</v>
      </c>
      <c r="D7" s="25">
        <f t="shared" si="1"/>
        <v>80</v>
      </c>
    </row>
    <row r="8">
      <c r="A8" s="15">
        <v>43647.0</v>
      </c>
      <c r="B8" s="9">
        <v>1950.0</v>
      </c>
      <c r="C8" s="9">
        <v>23.0</v>
      </c>
      <c r="D8" s="25">
        <f t="shared" si="1"/>
        <v>84.7826087</v>
      </c>
    </row>
    <row r="9">
      <c r="A9" s="15">
        <v>43678.0</v>
      </c>
      <c r="B9" s="9">
        <v>2000.0</v>
      </c>
      <c r="C9" s="9">
        <v>22.0</v>
      </c>
      <c r="D9" s="25">
        <f t="shared" si="1"/>
        <v>90.90909091</v>
      </c>
    </row>
    <row r="10">
      <c r="A10" s="15">
        <v>43709.0</v>
      </c>
      <c r="B10" s="9">
        <v>2000.0</v>
      </c>
      <c r="C10" s="9">
        <v>21.0</v>
      </c>
      <c r="D10" s="25">
        <f t="shared" si="1"/>
        <v>95.23809524</v>
      </c>
    </row>
    <row r="11">
      <c r="A11" s="15">
        <v>43739.0</v>
      </c>
      <c r="B11" s="9">
        <v>2300.0</v>
      </c>
      <c r="C11" s="9">
        <v>23.0</v>
      </c>
      <c r="D11" s="25">
        <f t="shared" si="1"/>
        <v>100</v>
      </c>
    </row>
    <row r="12">
      <c r="A12" s="15">
        <v>43770.0</v>
      </c>
      <c r="B12" s="9">
        <v>2100.0</v>
      </c>
      <c r="C12" s="9">
        <v>20.0</v>
      </c>
      <c r="D12" s="25">
        <f t="shared" si="1"/>
        <v>105</v>
      </c>
    </row>
    <row r="13">
      <c r="A13" s="15">
        <v>43800.0</v>
      </c>
      <c r="B13" s="9">
        <v>2300.0</v>
      </c>
      <c r="C13" s="9">
        <v>21.0</v>
      </c>
      <c r="D13" s="25">
        <f t="shared" si="1"/>
        <v>109.5238095</v>
      </c>
    </row>
    <row r="14">
      <c r="A14" s="15">
        <v>43831.0</v>
      </c>
      <c r="B14" s="9">
        <v>2500.0</v>
      </c>
      <c r="C14" s="9">
        <v>22.0</v>
      </c>
      <c r="D14" s="25">
        <f t="shared" si="1"/>
        <v>113.6363636</v>
      </c>
    </row>
    <row r="15">
      <c r="A15" s="15">
        <v>43862.0</v>
      </c>
      <c r="B15" s="9">
        <v>2300.0</v>
      </c>
      <c r="C15" s="9">
        <v>19.0</v>
      </c>
      <c r="D15" s="25">
        <f t="shared" si="1"/>
        <v>121.0526316</v>
      </c>
    </row>
    <row r="16">
      <c r="A16" s="15">
        <v>43891.0</v>
      </c>
      <c r="B16" s="9">
        <v>2800.0</v>
      </c>
      <c r="C16" s="9">
        <v>22.0</v>
      </c>
      <c r="D16" s="25">
        <f t="shared" si="1"/>
        <v>127.2727273</v>
      </c>
    </row>
    <row r="17">
      <c r="A17" s="15">
        <v>43922.0</v>
      </c>
      <c r="B17" s="9">
        <v>2700.0</v>
      </c>
      <c r="C17" s="9">
        <v>20.0</v>
      </c>
      <c r="D17" s="25">
        <f t="shared" si="1"/>
        <v>135</v>
      </c>
    </row>
    <row r="18">
      <c r="A18" s="15">
        <v>43952.0</v>
      </c>
      <c r="B18" s="9">
        <v>2800.0</v>
      </c>
      <c r="C18" s="9">
        <v>20.0</v>
      </c>
      <c r="D18" s="25">
        <f t="shared" si="1"/>
        <v>140</v>
      </c>
    </row>
    <row r="19">
      <c r="A19" s="15">
        <v>43983.0</v>
      </c>
      <c r="B19" s="9">
        <v>3200.0</v>
      </c>
      <c r="C19" s="9">
        <v>22.0</v>
      </c>
      <c r="D19" s="25">
        <f t="shared" si="1"/>
        <v>145.4545455</v>
      </c>
    </row>
    <row r="20">
      <c r="A20" s="15">
        <v>44013.0</v>
      </c>
      <c r="B20" s="9">
        <v>3500.0</v>
      </c>
      <c r="C20" s="9">
        <v>23.0</v>
      </c>
      <c r="D20" s="25">
        <f t="shared" si="1"/>
        <v>152.173913</v>
      </c>
    </row>
    <row r="21">
      <c r="A21" s="15">
        <v>44044.0</v>
      </c>
      <c r="B21" s="9">
        <v>3350.0</v>
      </c>
      <c r="C21" s="9">
        <v>21.0</v>
      </c>
      <c r="D21" s="25">
        <f t="shared" si="1"/>
        <v>159.5238095</v>
      </c>
    </row>
    <row r="22">
      <c r="D22" s="25"/>
    </row>
    <row r="23">
      <c r="D23" s="25"/>
    </row>
    <row r="24">
      <c r="D24" s="25"/>
    </row>
    <row r="25">
      <c r="D25" s="25"/>
    </row>
    <row r="26">
      <c r="D26" s="25"/>
    </row>
    <row r="27">
      <c r="D27" s="25"/>
    </row>
    <row r="28">
      <c r="D28" s="25"/>
    </row>
    <row r="29">
      <c r="D29" s="25"/>
    </row>
    <row r="30">
      <c r="D30" s="25"/>
    </row>
    <row r="31">
      <c r="D31" s="25"/>
    </row>
    <row r="32">
      <c r="D32" s="25"/>
    </row>
    <row r="33">
      <c r="D33" s="25"/>
    </row>
    <row r="34">
      <c r="D34" s="25"/>
    </row>
    <row r="35">
      <c r="D35" s="25"/>
    </row>
    <row r="36">
      <c r="D36" s="25"/>
    </row>
    <row r="37">
      <c r="D37" s="25"/>
    </row>
    <row r="38">
      <c r="D38" s="25"/>
    </row>
    <row r="39">
      <c r="D39" s="25"/>
    </row>
    <row r="40">
      <c r="D40" s="25"/>
    </row>
    <row r="41">
      <c r="D41" s="25"/>
    </row>
    <row r="42">
      <c r="D42" s="25"/>
    </row>
    <row r="43">
      <c r="D43" s="25"/>
    </row>
    <row r="44">
      <c r="D44" s="25"/>
    </row>
    <row r="45">
      <c r="D45" s="25"/>
    </row>
    <row r="46">
      <c r="D46" s="25"/>
    </row>
    <row r="47">
      <c r="D47" s="25"/>
    </row>
    <row r="48">
      <c r="D48" s="25"/>
    </row>
    <row r="49">
      <c r="D49" s="25"/>
    </row>
    <row r="50">
      <c r="D50" s="25"/>
    </row>
    <row r="51">
      <c r="D51" s="25"/>
    </row>
    <row r="52">
      <c r="D52" s="25"/>
    </row>
    <row r="53">
      <c r="D53" s="25"/>
    </row>
    <row r="54">
      <c r="D54" s="25"/>
    </row>
    <row r="55">
      <c r="D55" s="25"/>
    </row>
    <row r="56">
      <c r="D56" s="25"/>
    </row>
    <row r="57">
      <c r="D57" s="25"/>
    </row>
    <row r="58">
      <c r="D58" s="25"/>
    </row>
    <row r="59">
      <c r="D59" s="25"/>
    </row>
    <row r="60">
      <c r="D60" s="25"/>
    </row>
    <row r="61">
      <c r="D61" s="25"/>
    </row>
    <row r="62">
      <c r="D62" s="25"/>
    </row>
    <row r="63">
      <c r="D63" s="25"/>
    </row>
    <row r="64">
      <c r="D64" s="25"/>
    </row>
    <row r="65">
      <c r="D65" s="25"/>
    </row>
    <row r="66">
      <c r="D66" s="25"/>
    </row>
    <row r="67">
      <c r="D67" s="25"/>
    </row>
    <row r="68">
      <c r="D68" s="25"/>
    </row>
    <row r="69">
      <c r="D69" s="25"/>
    </row>
    <row r="70">
      <c r="D70" s="25"/>
    </row>
    <row r="71">
      <c r="D71" s="25"/>
    </row>
    <row r="72">
      <c r="D72" s="25"/>
    </row>
    <row r="73">
      <c r="D73" s="25"/>
    </row>
    <row r="74">
      <c r="D74" s="25"/>
    </row>
    <row r="75">
      <c r="D75" s="25"/>
    </row>
    <row r="76">
      <c r="D76" s="25"/>
    </row>
    <row r="77">
      <c r="D77" s="25"/>
    </row>
    <row r="78">
      <c r="D78" s="25"/>
    </row>
    <row r="79">
      <c r="D79" s="25"/>
    </row>
    <row r="80">
      <c r="D80" s="25"/>
    </row>
    <row r="81">
      <c r="D81" s="25"/>
    </row>
    <row r="82">
      <c r="D82" s="25"/>
    </row>
    <row r="83">
      <c r="D83" s="25"/>
    </row>
    <row r="84">
      <c r="D84" s="25"/>
    </row>
    <row r="85">
      <c r="D85" s="25"/>
    </row>
    <row r="86">
      <c r="D86" s="25"/>
    </row>
    <row r="87">
      <c r="D87" s="25"/>
    </row>
    <row r="88">
      <c r="D88" s="25"/>
    </row>
    <row r="89">
      <c r="D89" s="25"/>
    </row>
    <row r="90">
      <c r="D90" s="25"/>
    </row>
    <row r="91">
      <c r="D91" s="25"/>
    </row>
    <row r="92">
      <c r="D92" s="25"/>
    </row>
    <row r="93">
      <c r="D93" s="25"/>
    </row>
    <row r="94">
      <c r="D94" s="25"/>
    </row>
    <row r="95">
      <c r="D95" s="25"/>
    </row>
    <row r="96">
      <c r="D96" s="25"/>
    </row>
    <row r="97">
      <c r="D97" s="25"/>
    </row>
    <row r="98">
      <c r="D98" s="25"/>
    </row>
    <row r="99">
      <c r="D99" s="25"/>
    </row>
    <row r="100">
      <c r="D100" s="25"/>
    </row>
    <row r="101">
      <c r="D101" s="25"/>
    </row>
    <row r="102">
      <c r="D102" s="25"/>
    </row>
    <row r="103">
      <c r="D103" s="25"/>
    </row>
    <row r="104">
      <c r="D104" s="25"/>
    </row>
    <row r="105">
      <c r="D105" s="25"/>
    </row>
    <row r="106">
      <c r="D106" s="25"/>
    </row>
    <row r="107">
      <c r="D107" s="25"/>
    </row>
    <row r="108">
      <c r="D108" s="25"/>
    </row>
    <row r="109">
      <c r="D109" s="25"/>
    </row>
    <row r="110">
      <c r="D110" s="25"/>
    </row>
    <row r="111">
      <c r="D111" s="25"/>
    </row>
    <row r="112">
      <c r="D112" s="25"/>
    </row>
    <row r="113">
      <c r="D113" s="25"/>
    </row>
    <row r="114">
      <c r="D114" s="25"/>
    </row>
    <row r="115">
      <c r="D115" s="25"/>
    </row>
    <row r="116">
      <c r="D116" s="25"/>
    </row>
    <row r="117">
      <c r="D117" s="25"/>
    </row>
    <row r="118">
      <c r="D118" s="25"/>
    </row>
    <row r="119">
      <c r="D119" s="25"/>
    </row>
    <row r="120">
      <c r="D120" s="25"/>
    </row>
    <row r="121">
      <c r="D121" s="25"/>
    </row>
    <row r="122">
      <c r="D122" s="25"/>
    </row>
    <row r="123">
      <c r="D123" s="25"/>
    </row>
    <row r="124">
      <c r="D124" s="25"/>
    </row>
    <row r="125">
      <c r="D125" s="25"/>
    </row>
    <row r="126">
      <c r="D126" s="25"/>
    </row>
    <row r="127">
      <c r="D127" s="25"/>
    </row>
    <row r="128">
      <c r="D128" s="25"/>
    </row>
    <row r="129">
      <c r="D129" s="25"/>
    </row>
    <row r="130">
      <c r="D130" s="25"/>
    </row>
    <row r="131">
      <c r="D131" s="25"/>
    </row>
    <row r="132">
      <c r="D132" s="25"/>
    </row>
    <row r="133">
      <c r="D133" s="25"/>
    </row>
    <row r="134">
      <c r="D134" s="25"/>
    </row>
    <row r="135">
      <c r="D135" s="25"/>
    </row>
    <row r="136">
      <c r="D136" s="25"/>
    </row>
    <row r="137">
      <c r="D137" s="25"/>
    </row>
    <row r="138">
      <c r="D138" s="25"/>
    </row>
    <row r="139">
      <c r="D139" s="25"/>
    </row>
    <row r="140">
      <c r="D140" s="25"/>
    </row>
    <row r="141">
      <c r="D141" s="25"/>
    </row>
    <row r="142">
      <c r="D142" s="25"/>
    </row>
    <row r="143">
      <c r="D143" s="25"/>
    </row>
    <row r="144">
      <c r="D144" s="25"/>
    </row>
    <row r="145">
      <c r="D145" s="25"/>
    </row>
    <row r="146">
      <c r="D146" s="25"/>
    </row>
    <row r="147">
      <c r="D147" s="25"/>
    </row>
    <row r="148">
      <c r="D148" s="25"/>
    </row>
    <row r="149">
      <c r="D149" s="25"/>
    </row>
    <row r="150">
      <c r="D150" s="25"/>
    </row>
    <row r="151">
      <c r="D151" s="25"/>
    </row>
    <row r="152">
      <c r="D152" s="25"/>
    </row>
    <row r="153">
      <c r="D153" s="25"/>
    </row>
    <row r="154">
      <c r="D154" s="25"/>
    </row>
    <row r="155">
      <c r="D155" s="25"/>
    </row>
    <row r="156">
      <c r="D156" s="25"/>
    </row>
    <row r="157">
      <c r="D157" s="25"/>
    </row>
    <row r="158">
      <c r="D158" s="25"/>
    </row>
    <row r="159">
      <c r="D159" s="25"/>
    </row>
    <row r="160">
      <c r="D160" s="25"/>
    </row>
    <row r="161">
      <c r="D161" s="25"/>
    </row>
    <row r="162">
      <c r="D162" s="25"/>
    </row>
    <row r="163">
      <c r="D163" s="25"/>
    </row>
    <row r="164">
      <c r="D164" s="25"/>
    </row>
    <row r="165">
      <c r="D165" s="25"/>
    </row>
    <row r="166">
      <c r="D166" s="25"/>
    </row>
    <row r="167">
      <c r="D167" s="25"/>
    </row>
    <row r="168">
      <c r="D168" s="25"/>
    </row>
    <row r="169">
      <c r="D169" s="25"/>
    </row>
    <row r="170">
      <c r="D170" s="25"/>
    </row>
    <row r="171">
      <c r="D171" s="25"/>
    </row>
    <row r="172">
      <c r="D172" s="25"/>
    </row>
    <row r="173">
      <c r="D173" s="25"/>
    </row>
    <row r="174">
      <c r="D174" s="25"/>
    </row>
    <row r="175">
      <c r="D175" s="25"/>
    </row>
    <row r="176">
      <c r="D176" s="25"/>
    </row>
    <row r="177">
      <c r="D177" s="25"/>
    </row>
    <row r="178">
      <c r="D178" s="25"/>
    </row>
    <row r="179">
      <c r="D179" s="25"/>
    </row>
    <row r="180">
      <c r="D180" s="25"/>
    </row>
    <row r="181">
      <c r="D181" s="25"/>
    </row>
    <row r="182">
      <c r="D182" s="25"/>
    </row>
    <row r="183">
      <c r="D183" s="25"/>
    </row>
    <row r="184">
      <c r="D184" s="25"/>
    </row>
    <row r="185">
      <c r="D185" s="25"/>
    </row>
    <row r="186">
      <c r="D186" s="25"/>
    </row>
    <row r="187">
      <c r="D187" s="25"/>
    </row>
    <row r="188">
      <c r="D188" s="25"/>
    </row>
    <row r="189">
      <c r="D189" s="25"/>
    </row>
    <row r="190">
      <c r="D190" s="25"/>
    </row>
    <row r="191">
      <c r="D191" s="25"/>
    </row>
    <row r="192">
      <c r="D192" s="25"/>
    </row>
    <row r="193">
      <c r="D193" s="25"/>
    </row>
    <row r="194">
      <c r="D194" s="25"/>
    </row>
    <row r="195">
      <c r="D195" s="25"/>
    </row>
    <row r="196">
      <c r="D196" s="25"/>
    </row>
    <row r="197">
      <c r="D197" s="25"/>
    </row>
    <row r="198">
      <c r="D198" s="25"/>
    </row>
    <row r="199">
      <c r="D199" s="25"/>
    </row>
    <row r="200">
      <c r="D200" s="25"/>
    </row>
    <row r="201">
      <c r="D201" s="25"/>
    </row>
    <row r="202">
      <c r="D202" s="25"/>
    </row>
    <row r="203">
      <c r="D203" s="25"/>
    </row>
    <row r="204">
      <c r="D204" s="25"/>
    </row>
    <row r="205">
      <c r="D205" s="25"/>
    </row>
    <row r="206">
      <c r="D206" s="25"/>
    </row>
    <row r="207">
      <c r="D207" s="25"/>
    </row>
    <row r="208">
      <c r="D208" s="25"/>
    </row>
    <row r="209">
      <c r="D209" s="25"/>
    </row>
    <row r="210">
      <c r="D210" s="25"/>
    </row>
    <row r="211">
      <c r="D211" s="25"/>
    </row>
    <row r="212">
      <c r="D212" s="25"/>
    </row>
    <row r="213">
      <c r="D213" s="25"/>
    </row>
    <row r="214">
      <c r="D214" s="25"/>
    </row>
    <row r="215">
      <c r="D215" s="25"/>
    </row>
    <row r="216">
      <c r="D216" s="25"/>
    </row>
    <row r="217">
      <c r="D217" s="25"/>
    </row>
    <row r="218">
      <c r="D218" s="25"/>
    </row>
    <row r="219">
      <c r="D219" s="25"/>
    </row>
    <row r="220">
      <c r="D220" s="25"/>
    </row>
    <row r="221">
      <c r="D221" s="25"/>
    </row>
    <row r="222">
      <c r="D222" s="25"/>
    </row>
    <row r="223">
      <c r="D223" s="25"/>
    </row>
    <row r="224">
      <c r="D224" s="25"/>
    </row>
    <row r="225">
      <c r="D225" s="25"/>
    </row>
    <row r="226">
      <c r="D226" s="25"/>
    </row>
    <row r="227">
      <c r="D227" s="25"/>
    </row>
    <row r="228">
      <c r="D228" s="25"/>
    </row>
    <row r="229">
      <c r="D229" s="25"/>
    </row>
    <row r="230">
      <c r="D230" s="25"/>
    </row>
    <row r="231">
      <c r="D231" s="25"/>
    </row>
    <row r="232">
      <c r="D232" s="25"/>
    </row>
    <row r="233">
      <c r="D233" s="25"/>
    </row>
    <row r="234">
      <c r="D234" s="25"/>
    </row>
    <row r="235">
      <c r="D235" s="25"/>
    </row>
    <row r="236">
      <c r="D236" s="25"/>
    </row>
    <row r="237">
      <c r="D237" s="25"/>
    </row>
    <row r="238">
      <c r="D238" s="25"/>
    </row>
    <row r="239">
      <c r="D239" s="25"/>
    </row>
    <row r="240">
      <c r="D240" s="25"/>
    </row>
    <row r="241">
      <c r="D241" s="25"/>
    </row>
    <row r="242">
      <c r="D242" s="25"/>
    </row>
    <row r="243">
      <c r="D243" s="25"/>
    </row>
    <row r="244">
      <c r="D244" s="25"/>
    </row>
    <row r="245">
      <c r="D245" s="25"/>
    </row>
    <row r="246">
      <c r="D246" s="25"/>
    </row>
    <row r="247">
      <c r="D247" s="25"/>
    </row>
    <row r="248">
      <c r="D248" s="25"/>
    </row>
    <row r="249">
      <c r="D249" s="25"/>
    </row>
    <row r="250">
      <c r="D250" s="25"/>
    </row>
    <row r="251">
      <c r="D251" s="25"/>
    </row>
    <row r="252">
      <c r="D252" s="25"/>
    </row>
    <row r="253">
      <c r="D253" s="25"/>
    </row>
    <row r="254">
      <c r="D254" s="25"/>
    </row>
    <row r="255">
      <c r="D255" s="25"/>
    </row>
    <row r="256">
      <c r="D256" s="25"/>
    </row>
    <row r="257">
      <c r="D257" s="25"/>
    </row>
    <row r="258">
      <c r="D258" s="25"/>
    </row>
    <row r="259">
      <c r="D259" s="25"/>
    </row>
    <row r="260">
      <c r="D260" s="25"/>
    </row>
    <row r="261">
      <c r="D261" s="25"/>
    </row>
    <row r="262">
      <c r="D262" s="25"/>
    </row>
    <row r="263">
      <c r="D263" s="25"/>
    </row>
    <row r="264">
      <c r="D264" s="25"/>
    </row>
    <row r="265">
      <c r="D265" s="25"/>
    </row>
    <row r="266">
      <c r="D266" s="25"/>
    </row>
    <row r="267">
      <c r="D267" s="25"/>
    </row>
    <row r="268">
      <c r="D268" s="25"/>
    </row>
    <row r="269">
      <c r="D269" s="25"/>
    </row>
    <row r="270">
      <c r="D270" s="25"/>
    </row>
    <row r="271">
      <c r="D271" s="25"/>
    </row>
    <row r="272">
      <c r="D272" s="25"/>
    </row>
    <row r="273">
      <c r="D273" s="25"/>
    </row>
    <row r="274">
      <c r="D274" s="25"/>
    </row>
    <row r="275">
      <c r="D275" s="25"/>
    </row>
    <row r="276">
      <c r="D276" s="25"/>
    </row>
    <row r="277">
      <c r="D277" s="25"/>
    </row>
    <row r="278">
      <c r="D278" s="25"/>
    </row>
    <row r="279">
      <c r="D279" s="25"/>
    </row>
    <row r="280">
      <c r="D280" s="25"/>
    </row>
    <row r="281">
      <c r="D281" s="25"/>
    </row>
    <row r="282">
      <c r="D282" s="25"/>
    </row>
    <row r="283">
      <c r="D283" s="25"/>
    </row>
    <row r="284">
      <c r="D284" s="25"/>
    </row>
    <row r="285">
      <c r="D285" s="25"/>
    </row>
    <row r="286">
      <c r="D286" s="25"/>
    </row>
    <row r="287">
      <c r="D287" s="25"/>
    </row>
    <row r="288">
      <c r="D288" s="25"/>
    </row>
    <row r="289">
      <c r="D289" s="25"/>
    </row>
    <row r="290">
      <c r="D290" s="25"/>
    </row>
    <row r="291">
      <c r="D291" s="25"/>
    </row>
    <row r="292">
      <c r="D292" s="25"/>
    </row>
    <row r="293">
      <c r="D293" s="25"/>
    </row>
    <row r="294">
      <c r="D294" s="25"/>
    </row>
    <row r="295">
      <c r="D295" s="25"/>
    </row>
    <row r="296">
      <c r="D296" s="25"/>
    </row>
    <row r="297">
      <c r="D297" s="25"/>
    </row>
    <row r="298">
      <c r="D298" s="25"/>
    </row>
    <row r="299">
      <c r="D299" s="25"/>
    </row>
    <row r="300">
      <c r="D300" s="25"/>
    </row>
    <row r="301">
      <c r="D301" s="25"/>
    </row>
    <row r="302">
      <c r="D302" s="25"/>
    </row>
    <row r="303">
      <c r="D303" s="25"/>
    </row>
    <row r="304">
      <c r="D304" s="25"/>
    </row>
    <row r="305">
      <c r="D305" s="25"/>
    </row>
    <row r="306">
      <c r="D306" s="25"/>
    </row>
    <row r="307">
      <c r="D307" s="25"/>
    </row>
    <row r="308">
      <c r="D308" s="25"/>
    </row>
    <row r="309">
      <c r="D309" s="25"/>
    </row>
    <row r="310">
      <c r="D310" s="25"/>
    </row>
    <row r="311">
      <c r="D311" s="25"/>
    </row>
    <row r="312">
      <c r="D312" s="25"/>
    </row>
    <row r="313">
      <c r="D313" s="25"/>
    </row>
    <row r="314">
      <c r="D314" s="25"/>
    </row>
    <row r="315">
      <c r="D315" s="25"/>
    </row>
    <row r="316">
      <c r="D316" s="25"/>
    </row>
    <row r="317">
      <c r="D317" s="25"/>
    </row>
    <row r="318">
      <c r="D318" s="25"/>
    </row>
    <row r="319">
      <c r="D319" s="25"/>
    </row>
    <row r="320">
      <c r="D320" s="25"/>
    </row>
    <row r="321">
      <c r="D321" s="25"/>
    </row>
    <row r="322">
      <c r="D322" s="25"/>
    </row>
    <row r="323">
      <c r="D323" s="25"/>
    </row>
    <row r="324">
      <c r="D324" s="25"/>
    </row>
    <row r="325">
      <c r="D325" s="25"/>
    </row>
    <row r="326">
      <c r="D326" s="25"/>
    </row>
    <row r="327">
      <c r="D327" s="25"/>
    </row>
    <row r="328">
      <c r="D328" s="25"/>
    </row>
    <row r="329">
      <c r="D329" s="25"/>
    </row>
    <row r="330">
      <c r="D330" s="25"/>
    </row>
    <row r="331">
      <c r="D331" s="25"/>
    </row>
    <row r="332">
      <c r="D332" s="25"/>
    </row>
    <row r="333">
      <c r="D333" s="25"/>
    </row>
    <row r="334">
      <c r="D334" s="25"/>
    </row>
    <row r="335">
      <c r="D335" s="25"/>
    </row>
    <row r="336">
      <c r="D336" s="25"/>
    </row>
    <row r="337">
      <c r="D337" s="25"/>
    </row>
    <row r="338">
      <c r="D338" s="25"/>
    </row>
    <row r="339">
      <c r="D339" s="25"/>
    </row>
    <row r="340">
      <c r="D340" s="25"/>
    </row>
    <row r="341">
      <c r="D341" s="25"/>
    </row>
    <row r="342">
      <c r="D342" s="25"/>
    </row>
    <row r="343">
      <c r="D343" s="25"/>
    </row>
    <row r="344">
      <c r="D344" s="25"/>
    </row>
    <row r="345">
      <c r="D345" s="25"/>
    </row>
    <row r="346">
      <c r="D346" s="25"/>
    </row>
    <row r="347">
      <c r="D347" s="25"/>
    </row>
    <row r="348">
      <c r="D348" s="25"/>
    </row>
    <row r="349">
      <c r="D349" s="25"/>
    </row>
    <row r="350">
      <c r="D350" s="25"/>
    </row>
    <row r="351">
      <c r="D351" s="25"/>
    </row>
    <row r="352">
      <c r="D352" s="25"/>
    </row>
    <row r="353">
      <c r="D353" s="25"/>
    </row>
    <row r="354">
      <c r="D354" s="25"/>
    </row>
    <row r="355">
      <c r="D355" s="25"/>
    </row>
    <row r="356">
      <c r="D356" s="25"/>
    </row>
    <row r="357">
      <c r="D357" s="25"/>
    </row>
    <row r="358">
      <c r="D358" s="25"/>
    </row>
    <row r="359">
      <c r="D359" s="25"/>
    </row>
    <row r="360">
      <c r="D360" s="25"/>
    </row>
    <row r="361">
      <c r="D361" s="25"/>
    </row>
    <row r="362">
      <c r="D362" s="25"/>
    </row>
    <row r="363">
      <c r="D363" s="25"/>
    </row>
    <row r="364">
      <c r="D364" s="25"/>
    </row>
    <row r="365">
      <c r="D365" s="25"/>
    </row>
    <row r="366">
      <c r="D366" s="25"/>
    </row>
    <row r="367">
      <c r="D367" s="25"/>
    </row>
    <row r="368">
      <c r="D368" s="25"/>
    </row>
    <row r="369">
      <c r="D369" s="25"/>
    </row>
    <row r="370">
      <c r="D370" s="25"/>
    </row>
    <row r="371">
      <c r="D371" s="25"/>
    </row>
    <row r="372">
      <c r="D372" s="25"/>
    </row>
    <row r="373">
      <c r="D373" s="25"/>
    </row>
    <row r="374">
      <c r="D374" s="25"/>
    </row>
    <row r="375">
      <c r="D375" s="25"/>
    </row>
    <row r="376">
      <c r="D376" s="25"/>
    </row>
    <row r="377">
      <c r="D377" s="25"/>
    </row>
    <row r="378">
      <c r="D378" s="25"/>
    </row>
    <row r="379">
      <c r="D379" s="25"/>
    </row>
    <row r="380">
      <c r="D380" s="25"/>
    </row>
    <row r="381">
      <c r="D381" s="25"/>
    </row>
    <row r="382">
      <c r="D382" s="25"/>
    </row>
    <row r="383">
      <c r="D383" s="25"/>
    </row>
    <row r="384">
      <c r="D384" s="25"/>
    </row>
    <row r="385">
      <c r="D385" s="25"/>
    </row>
    <row r="386">
      <c r="D386" s="25"/>
    </row>
    <row r="387">
      <c r="D387" s="25"/>
    </row>
    <row r="388">
      <c r="D388" s="25"/>
    </row>
    <row r="389">
      <c r="D389" s="25"/>
    </row>
    <row r="390">
      <c r="D390" s="25"/>
    </row>
    <row r="391">
      <c r="D391" s="25"/>
    </row>
    <row r="392">
      <c r="D392" s="25"/>
    </row>
    <row r="393">
      <c r="D393" s="25"/>
    </row>
    <row r="394">
      <c r="D394" s="25"/>
    </row>
    <row r="395">
      <c r="D395" s="25"/>
    </row>
    <row r="396">
      <c r="D396" s="25"/>
    </row>
    <row r="397">
      <c r="D397" s="25"/>
    </row>
    <row r="398">
      <c r="D398" s="25"/>
    </row>
    <row r="399">
      <c r="D399" s="25"/>
    </row>
    <row r="400">
      <c r="D400" s="25"/>
    </row>
    <row r="401">
      <c r="D401" s="25"/>
    </row>
    <row r="402">
      <c r="D402" s="25"/>
    </row>
    <row r="403">
      <c r="D403" s="25"/>
    </row>
    <row r="404">
      <c r="D404" s="25"/>
    </row>
    <row r="405">
      <c r="D405" s="25"/>
    </row>
    <row r="406">
      <c r="D406" s="25"/>
    </row>
    <row r="407">
      <c r="D407" s="25"/>
    </row>
    <row r="408">
      <c r="D408" s="25"/>
    </row>
    <row r="409">
      <c r="D409" s="25"/>
    </row>
    <row r="410">
      <c r="D410" s="25"/>
    </row>
    <row r="411">
      <c r="D411" s="25"/>
    </row>
    <row r="412">
      <c r="D412" s="25"/>
    </row>
    <row r="413">
      <c r="D413" s="25"/>
    </row>
    <row r="414">
      <c r="D414" s="25"/>
    </row>
    <row r="415">
      <c r="D415" s="25"/>
    </row>
    <row r="416">
      <c r="D416" s="25"/>
    </row>
    <row r="417">
      <c r="D417" s="25"/>
    </row>
    <row r="418">
      <c r="D418" s="25"/>
    </row>
    <row r="419">
      <c r="D419" s="25"/>
    </row>
    <row r="420">
      <c r="D420" s="25"/>
    </row>
    <row r="421">
      <c r="D421" s="25"/>
    </row>
    <row r="422">
      <c r="D422" s="25"/>
    </row>
    <row r="423">
      <c r="D423" s="25"/>
    </row>
    <row r="424">
      <c r="D424" s="25"/>
    </row>
    <row r="425">
      <c r="D425" s="25"/>
    </row>
    <row r="426">
      <c r="D426" s="25"/>
    </row>
    <row r="427">
      <c r="D427" s="25"/>
    </row>
    <row r="428">
      <c r="D428" s="25"/>
    </row>
    <row r="429">
      <c r="D429" s="25"/>
    </row>
    <row r="430">
      <c r="D430" s="25"/>
    </row>
    <row r="431">
      <c r="D431" s="25"/>
    </row>
    <row r="432">
      <c r="D432" s="25"/>
    </row>
    <row r="433">
      <c r="D433" s="25"/>
    </row>
    <row r="434">
      <c r="D434" s="25"/>
    </row>
    <row r="435">
      <c r="D435" s="25"/>
    </row>
    <row r="436">
      <c r="D436" s="25"/>
    </row>
    <row r="437">
      <c r="D437" s="25"/>
    </row>
    <row r="438">
      <c r="D438" s="25"/>
    </row>
    <row r="439">
      <c r="D439" s="25"/>
    </row>
    <row r="440">
      <c r="D440" s="25"/>
    </row>
    <row r="441">
      <c r="D441" s="25"/>
    </row>
    <row r="442">
      <c r="D442" s="25"/>
    </row>
    <row r="443">
      <c r="D443" s="25"/>
    </row>
    <row r="444">
      <c r="D444" s="25"/>
    </row>
    <row r="445">
      <c r="D445" s="25"/>
    </row>
    <row r="446">
      <c r="D446" s="25"/>
    </row>
    <row r="447">
      <c r="D447" s="25"/>
    </row>
    <row r="448">
      <c r="D448" s="25"/>
    </row>
    <row r="449">
      <c r="D449" s="25"/>
    </row>
    <row r="450">
      <c r="D450" s="25"/>
    </row>
    <row r="451">
      <c r="D451" s="25"/>
    </row>
    <row r="452">
      <c r="D452" s="25"/>
    </row>
    <row r="453">
      <c r="D453" s="25"/>
    </row>
    <row r="454">
      <c r="D454" s="25"/>
    </row>
    <row r="455">
      <c r="D455" s="25"/>
    </row>
    <row r="456">
      <c r="D456" s="25"/>
    </row>
    <row r="457">
      <c r="D457" s="25"/>
    </row>
    <row r="458">
      <c r="D458" s="25"/>
    </row>
    <row r="459">
      <c r="D459" s="25"/>
    </row>
    <row r="460">
      <c r="D460" s="25"/>
    </row>
    <row r="461">
      <c r="D461" s="25"/>
    </row>
    <row r="462">
      <c r="D462" s="25"/>
    </row>
    <row r="463">
      <c r="D463" s="25"/>
    </row>
    <row r="464">
      <c r="D464" s="25"/>
    </row>
    <row r="465">
      <c r="D465" s="25"/>
    </row>
    <row r="466">
      <c r="D466" s="25"/>
    </row>
    <row r="467">
      <c r="D467" s="25"/>
    </row>
    <row r="468">
      <c r="D468" s="25"/>
    </row>
    <row r="469">
      <c r="D469" s="25"/>
    </row>
    <row r="470">
      <c r="D470" s="25"/>
    </row>
    <row r="471">
      <c r="D471" s="25"/>
    </row>
    <row r="472">
      <c r="D472" s="25"/>
    </row>
    <row r="473">
      <c r="D473" s="25"/>
    </row>
    <row r="474">
      <c r="D474" s="25"/>
    </row>
    <row r="475">
      <c r="D475" s="25"/>
    </row>
    <row r="476">
      <c r="D476" s="25"/>
    </row>
    <row r="477">
      <c r="D477" s="25"/>
    </row>
    <row r="478">
      <c r="D478" s="25"/>
    </row>
    <row r="479">
      <c r="D479" s="25"/>
    </row>
    <row r="480">
      <c r="D480" s="25"/>
    </row>
    <row r="481">
      <c r="D481" s="25"/>
    </row>
    <row r="482">
      <c r="D482" s="25"/>
    </row>
    <row r="483">
      <c r="D483" s="25"/>
    </row>
    <row r="484">
      <c r="D484" s="25"/>
    </row>
    <row r="485">
      <c r="D485" s="25"/>
    </row>
    <row r="486">
      <c r="D486" s="25"/>
    </row>
    <row r="487">
      <c r="D487" s="25"/>
    </row>
    <row r="488">
      <c r="D488" s="25"/>
    </row>
    <row r="489">
      <c r="D489" s="25"/>
    </row>
    <row r="490">
      <c r="D490" s="25"/>
    </row>
    <row r="491">
      <c r="D491" s="25"/>
    </row>
    <row r="492">
      <c r="D492" s="25"/>
    </row>
    <row r="493">
      <c r="D493" s="25"/>
    </row>
    <row r="494">
      <c r="D494" s="25"/>
    </row>
    <row r="495">
      <c r="D495" s="25"/>
    </row>
    <row r="496">
      <c r="D496" s="25"/>
    </row>
    <row r="497">
      <c r="D497" s="25"/>
    </row>
    <row r="498">
      <c r="D498" s="25"/>
    </row>
    <row r="499">
      <c r="D499" s="25"/>
    </row>
    <row r="500">
      <c r="D500" s="25"/>
    </row>
    <row r="501">
      <c r="D501" s="25"/>
    </row>
    <row r="502">
      <c r="D502" s="25"/>
    </row>
    <row r="503">
      <c r="D503" s="25"/>
    </row>
    <row r="504">
      <c r="D504" s="25"/>
    </row>
    <row r="505">
      <c r="D505" s="25"/>
    </row>
    <row r="506">
      <c r="D506" s="25"/>
    </row>
    <row r="507">
      <c r="D507" s="25"/>
    </row>
    <row r="508">
      <c r="D508" s="25"/>
    </row>
    <row r="509">
      <c r="D509" s="25"/>
    </row>
    <row r="510">
      <c r="D510" s="25"/>
    </row>
    <row r="511">
      <c r="D511" s="25"/>
    </row>
    <row r="512">
      <c r="D512" s="25"/>
    </row>
    <row r="513">
      <c r="D513" s="25"/>
    </row>
    <row r="514">
      <c r="D514" s="25"/>
    </row>
    <row r="515">
      <c r="D515" s="25"/>
    </row>
    <row r="516">
      <c r="D516" s="25"/>
    </row>
    <row r="517">
      <c r="D517" s="25"/>
    </row>
    <row r="518">
      <c r="D518" s="25"/>
    </row>
    <row r="519">
      <c r="D519" s="25"/>
    </row>
    <row r="520">
      <c r="D520" s="25"/>
    </row>
    <row r="521">
      <c r="D521" s="25"/>
    </row>
    <row r="522">
      <c r="D522" s="25"/>
    </row>
    <row r="523">
      <c r="D523" s="25"/>
    </row>
    <row r="524">
      <c r="D524" s="25"/>
    </row>
    <row r="525">
      <c r="D525" s="25"/>
    </row>
    <row r="526">
      <c r="D526" s="25"/>
    </row>
    <row r="527">
      <c r="D527" s="25"/>
    </row>
    <row r="528">
      <c r="D528" s="25"/>
    </row>
    <row r="529">
      <c r="D529" s="25"/>
    </row>
    <row r="530">
      <c r="D530" s="25"/>
    </row>
    <row r="531">
      <c r="D531" s="25"/>
    </row>
    <row r="532">
      <c r="D532" s="25"/>
    </row>
    <row r="533">
      <c r="D533" s="25"/>
    </row>
    <row r="534">
      <c r="D534" s="25"/>
    </row>
    <row r="535">
      <c r="D535" s="25"/>
    </row>
    <row r="536">
      <c r="D536" s="25"/>
    </row>
    <row r="537">
      <c r="D537" s="25"/>
    </row>
    <row r="538">
      <c r="D538" s="25"/>
    </row>
    <row r="539">
      <c r="D539" s="25"/>
    </row>
    <row r="540">
      <c r="D540" s="25"/>
    </row>
    <row r="541">
      <c r="D541" s="25"/>
    </row>
    <row r="542">
      <c r="D542" s="25"/>
    </row>
    <row r="543">
      <c r="D543" s="25"/>
    </row>
    <row r="544">
      <c r="D544" s="25"/>
    </row>
    <row r="545">
      <c r="D545" s="25"/>
    </row>
    <row r="546">
      <c r="D546" s="25"/>
    </row>
    <row r="547">
      <c r="D547" s="25"/>
    </row>
    <row r="548">
      <c r="D548" s="25"/>
    </row>
    <row r="549">
      <c r="D549" s="25"/>
    </row>
    <row r="550">
      <c r="D550" s="25"/>
    </row>
    <row r="551">
      <c r="D551" s="25"/>
    </row>
    <row r="552">
      <c r="D552" s="25"/>
    </row>
    <row r="553">
      <c r="D553" s="25"/>
    </row>
    <row r="554">
      <c r="D554" s="25"/>
    </row>
    <row r="555">
      <c r="D555" s="25"/>
    </row>
    <row r="556">
      <c r="D556" s="25"/>
    </row>
    <row r="557">
      <c r="D557" s="25"/>
    </row>
    <row r="558">
      <c r="D558" s="25"/>
    </row>
    <row r="559">
      <c r="D559" s="25"/>
    </row>
    <row r="560">
      <c r="D560" s="25"/>
    </row>
    <row r="561">
      <c r="D561" s="25"/>
    </row>
    <row r="562">
      <c r="D562" s="25"/>
    </row>
    <row r="563">
      <c r="D563" s="25"/>
    </row>
    <row r="564">
      <c r="D564" s="25"/>
    </row>
    <row r="565">
      <c r="D565" s="25"/>
    </row>
    <row r="566">
      <c r="D566" s="25"/>
    </row>
    <row r="567">
      <c r="D567" s="25"/>
    </row>
    <row r="568">
      <c r="D568" s="25"/>
    </row>
    <row r="569">
      <c r="D569" s="25"/>
    </row>
    <row r="570">
      <c r="D570" s="25"/>
    </row>
    <row r="571">
      <c r="D571" s="25"/>
    </row>
    <row r="572">
      <c r="D572" s="25"/>
    </row>
    <row r="573">
      <c r="D573" s="25"/>
    </row>
    <row r="574">
      <c r="D574" s="25"/>
    </row>
    <row r="575">
      <c r="D575" s="25"/>
    </row>
    <row r="576">
      <c r="D576" s="25"/>
    </row>
    <row r="577">
      <c r="D577" s="25"/>
    </row>
    <row r="578">
      <c r="D578" s="25"/>
    </row>
    <row r="579">
      <c r="D579" s="25"/>
    </row>
    <row r="580">
      <c r="D580" s="25"/>
    </row>
    <row r="581">
      <c r="D581" s="25"/>
    </row>
    <row r="582">
      <c r="D582" s="25"/>
    </row>
    <row r="583">
      <c r="D583" s="25"/>
    </row>
    <row r="584">
      <c r="D584" s="25"/>
    </row>
    <row r="585">
      <c r="D585" s="25"/>
    </row>
    <row r="586">
      <c r="D586" s="25"/>
    </row>
    <row r="587">
      <c r="D587" s="25"/>
    </row>
    <row r="588">
      <c r="D588" s="25"/>
    </row>
    <row r="589">
      <c r="D589" s="25"/>
    </row>
    <row r="590">
      <c r="D590" s="25"/>
    </row>
    <row r="591">
      <c r="D591" s="25"/>
    </row>
    <row r="592">
      <c r="D592" s="25"/>
    </row>
    <row r="593">
      <c r="D593" s="25"/>
    </row>
    <row r="594">
      <c r="D594" s="25"/>
    </row>
    <row r="595">
      <c r="D595" s="25"/>
    </row>
    <row r="596">
      <c r="D596" s="25"/>
    </row>
    <row r="597">
      <c r="D597" s="25"/>
    </row>
    <row r="598">
      <c r="D598" s="25"/>
    </row>
    <row r="599">
      <c r="D599" s="25"/>
    </row>
    <row r="600">
      <c r="D600" s="25"/>
    </row>
    <row r="601">
      <c r="D601" s="25"/>
    </row>
    <row r="602">
      <c r="D602" s="25"/>
    </row>
    <row r="603">
      <c r="D603" s="25"/>
    </row>
    <row r="604">
      <c r="D604" s="25"/>
    </row>
    <row r="605">
      <c r="D605" s="25"/>
    </row>
    <row r="606">
      <c r="D606" s="25"/>
    </row>
    <row r="607">
      <c r="D607" s="25"/>
    </row>
    <row r="608">
      <c r="D608" s="25"/>
    </row>
    <row r="609">
      <c r="D609" s="25"/>
    </row>
    <row r="610">
      <c r="D610" s="25"/>
    </row>
    <row r="611">
      <c r="D611" s="25"/>
    </row>
    <row r="612">
      <c r="D612" s="25"/>
    </row>
    <row r="613">
      <c r="D613" s="25"/>
    </row>
    <row r="614">
      <c r="D614" s="25"/>
    </row>
    <row r="615">
      <c r="D615" s="25"/>
    </row>
    <row r="616">
      <c r="D616" s="25"/>
    </row>
    <row r="617">
      <c r="D617" s="25"/>
    </row>
    <row r="618">
      <c r="D618" s="25"/>
    </row>
    <row r="619">
      <c r="D619" s="25"/>
    </row>
    <row r="620">
      <c r="D620" s="25"/>
    </row>
    <row r="621">
      <c r="D621" s="25"/>
    </row>
    <row r="622">
      <c r="D622" s="25"/>
    </row>
    <row r="623">
      <c r="D623" s="25"/>
    </row>
    <row r="624">
      <c r="D624" s="25"/>
    </row>
    <row r="625">
      <c r="D625" s="25"/>
    </row>
    <row r="626">
      <c r="D626" s="25"/>
    </row>
    <row r="627">
      <c r="D627" s="25"/>
    </row>
    <row r="628">
      <c r="D628" s="25"/>
    </row>
    <row r="629">
      <c r="D629" s="25"/>
    </row>
    <row r="630">
      <c r="D630" s="25"/>
    </row>
    <row r="631">
      <c r="D631" s="25"/>
    </row>
    <row r="632">
      <c r="D632" s="25"/>
    </row>
    <row r="633">
      <c r="D633" s="25"/>
    </row>
    <row r="634">
      <c r="D634" s="25"/>
    </row>
    <row r="635">
      <c r="D635" s="25"/>
    </row>
    <row r="636">
      <c r="D636" s="25"/>
    </row>
    <row r="637">
      <c r="D637" s="25"/>
    </row>
    <row r="638">
      <c r="D638" s="25"/>
    </row>
    <row r="639">
      <c r="D639" s="25"/>
    </row>
    <row r="640">
      <c r="D640" s="25"/>
    </row>
    <row r="641">
      <c r="D641" s="25"/>
    </row>
    <row r="642">
      <c r="D642" s="25"/>
    </row>
    <row r="643">
      <c r="D643" s="25"/>
    </row>
    <row r="644">
      <c r="D644" s="25"/>
    </row>
    <row r="645">
      <c r="D645" s="25"/>
    </row>
    <row r="646">
      <c r="D646" s="25"/>
    </row>
    <row r="647">
      <c r="D647" s="25"/>
    </row>
    <row r="648">
      <c r="D648" s="25"/>
    </row>
    <row r="649">
      <c r="D649" s="25"/>
    </row>
    <row r="650">
      <c r="D650" s="25"/>
    </row>
    <row r="651">
      <c r="D651" s="25"/>
    </row>
    <row r="652">
      <c r="D652" s="25"/>
    </row>
    <row r="653">
      <c r="D653" s="25"/>
    </row>
    <row r="654">
      <c r="D654" s="25"/>
    </row>
    <row r="655">
      <c r="D655" s="25"/>
    </row>
    <row r="656">
      <c r="D656" s="25"/>
    </row>
    <row r="657">
      <c r="D657" s="25"/>
    </row>
    <row r="658">
      <c r="D658" s="25"/>
    </row>
    <row r="659">
      <c r="D659" s="25"/>
    </row>
    <row r="660">
      <c r="D660" s="25"/>
    </row>
    <row r="661">
      <c r="D661" s="25"/>
    </row>
    <row r="662">
      <c r="D662" s="25"/>
    </row>
    <row r="663">
      <c r="D663" s="25"/>
    </row>
    <row r="664">
      <c r="D664" s="25"/>
    </row>
    <row r="665">
      <c r="D665" s="25"/>
    </row>
    <row r="666">
      <c r="D666" s="25"/>
    </row>
    <row r="667">
      <c r="D667" s="25"/>
    </row>
    <row r="668">
      <c r="D668" s="25"/>
    </row>
    <row r="669">
      <c r="D669" s="25"/>
    </row>
    <row r="670">
      <c r="D670" s="25"/>
    </row>
    <row r="671">
      <c r="D671" s="25"/>
    </row>
    <row r="672">
      <c r="D672" s="25"/>
    </row>
    <row r="673">
      <c r="D673" s="25"/>
    </row>
    <row r="674">
      <c r="D674" s="25"/>
    </row>
    <row r="675">
      <c r="D675" s="25"/>
    </row>
    <row r="676">
      <c r="D676" s="25"/>
    </row>
    <row r="677">
      <c r="D677" s="25"/>
    </row>
    <row r="678">
      <c r="D678" s="25"/>
    </row>
    <row r="679">
      <c r="D679" s="25"/>
    </row>
    <row r="680">
      <c r="D680" s="25"/>
    </row>
    <row r="681">
      <c r="D681" s="25"/>
    </row>
    <row r="682">
      <c r="D682" s="25"/>
    </row>
    <row r="683">
      <c r="D683" s="25"/>
    </row>
    <row r="684">
      <c r="D684" s="25"/>
    </row>
    <row r="685">
      <c r="D685" s="25"/>
    </row>
    <row r="686">
      <c r="D686" s="25"/>
    </row>
    <row r="687">
      <c r="D687" s="25"/>
    </row>
    <row r="688">
      <c r="D688" s="25"/>
    </row>
    <row r="689">
      <c r="D689" s="25"/>
    </row>
    <row r="690">
      <c r="D690" s="25"/>
    </row>
    <row r="691">
      <c r="D691" s="25"/>
    </row>
    <row r="692">
      <c r="D692" s="25"/>
    </row>
    <row r="693">
      <c r="D693" s="25"/>
    </row>
    <row r="694">
      <c r="D694" s="25"/>
    </row>
    <row r="695">
      <c r="D695" s="25"/>
    </row>
    <row r="696">
      <c r="D696" s="25"/>
    </row>
    <row r="697">
      <c r="D697" s="25"/>
    </row>
    <row r="698">
      <c r="D698" s="25"/>
    </row>
    <row r="699">
      <c r="D699" s="25"/>
    </row>
    <row r="700">
      <c r="D700" s="25"/>
    </row>
    <row r="701">
      <c r="D701" s="25"/>
    </row>
    <row r="702">
      <c r="D702" s="25"/>
    </row>
    <row r="703">
      <c r="D703" s="25"/>
    </row>
    <row r="704">
      <c r="D704" s="25"/>
    </row>
    <row r="705">
      <c r="D705" s="25"/>
    </row>
    <row r="706">
      <c r="D706" s="25"/>
    </row>
    <row r="707">
      <c r="D707" s="25"/>
    </row>
    <row r="708">
      <c r="D708" s="25"/>
    </row>
    <row r="709">
      <c r="D709" s="25"/>
    </row>
    <row r="710">
      <c r="D710" s="25"/>
    </row>
    <row r="711">
      <c r="D711" s="25"/>
    </row>
    <row r="712">
      <c r="D712" s="25"/>
    </row>
    <row r="713">
      <c r="D713" s="25"/>
    </row>
    <row r="714">
      <c r="D714" s="25"/>
    </row>
    <row r="715">
      <c r="D715" s="25"/>
    </row>
    <row r="716">
      <c r="D716" s="25"/>
    </row>
    <row r="717">
      <c r="D717" s="25"/>
    </row>
    <row r="718">
      <c r="D718" s="25"/>
    </row>
    <row r="719">
      <c r="D719" s="25"/>
    </row>
    <row r="720">
      <c r="D720" s="25"/>
    </row>
    <row r="721">
      <c r="D721" s="25"/>
    </row>
    <row r="722">
      <c r="D722" s="25"/>
    </row>
    <row r="723">
      <c r="D723" s="25"/>
    </row>
    <row r="724">
      <c r="D724" s="25"/>
    </row>
    <row r="725">
      <c r="D725" s="25"/>
    </row>
    <row r="726">
      <c r="D726" s="25"/>
    </row>
    <row r="727">
      <c r="D727" s="25"/>
    </row>
    <row r="728">
      <c r="D728" s="25"/>
    </row>
    <row r="729">
      <c r="D729" s="25"/>
    </row>
    <row r="730">
      <c r="D730" s="25"/>
    </row>
    <row r="731">
      <c r="D731" s="25"/>
    </row>
    <row r="732">
      <c r="D732" s="25"/>
    </row>
    <row r="733">
      <c r="D733" s="25"/>
    </row>
    <row r="734">
      <c r="D734" s="25"/>
    </row>
    <row r="735">
      <c r="D735" s="25"/>
    </row>
    <row r="736">
      <c r="D736" s="25"/>
    </row>
    <row r="737">
      <c r="D737" s="25"/>
    </row>
    <row r="738">
      <c r="D738" s="25"/>
    </row>
    <row r="739">
      <c r="D739" s="25"/>
    </row>
    <row r="740">
      <c r="D740" s="25"/>
    </row>
    <row r="741">
      <c r="D741" s="25"/>
    </row>
    <row r="742">
      <c r="D742" s="25"/>
    </row>
    <row r="743">
      <c r="D743" s="25"/>
    </row>
    <row r="744">
      <c r="D744" s="25"/>
    </row>
    <row r="745">
      <c r="D745" s="25"/>
    </row>
    <row r="746">
      <c r="D746" s="25"/>
    </row>
    <row r="747">
      <c r="D747" s="25"/>
    </row>
    <row r="748">
      <c r="D748" s="25"/>
    </row>
    <row r="749">
      <c r="D749" s="25"/>
    </row>
    <row r="750">
      <c r="D750" s="25"/>
    </row>
    <row r="751">
      <c r="D751" s="25"/>
    </row>
    <row r="752">
      <c r="D752" s="25"/>
    </row>
    <row r="753">
      <c r="D753" s="25"/>
    </row>
    <row r="754">
      <c r="D754" s="25"/>
    </row>
    <row r="755">
      <c r="D755" s="25"/>
    </row>
    <row r="756">
      <c r="D756" s="25"/>
    </row>
    <row r="757">
      <c r="D757" s="25"/>
    </row>
    <row r="758">
      <c r="D758" s="25"/>
    </row>
    <row r="759">
      <c r="D759" s="25"/>
    </row>
    <row r="760">
      <c r="D760" s="25"/>
    </row>
    <row r="761">
      <c r="D761" s="25"/>
    </row>
    <row r="762">
      <c r="D762" s="25"/>
    </row>
    <row r="763">
      <c r="D763" s="25"/>
    </row>
    <row r="764">
      <c r="D764" s="25"/>
    </row>
    <row r="765">
      <c r="D765" s="25"/>
    </row>
    <row r="766">
      <c r="D766" s="25"/>
    </row>
    <row r="767">
      <c r="D767" s="25"/>
    </row>
    <row r="768">
      <c r="D768" s="25"/>
    </row>
    <row r="769">
      <c r="D769" s="25"/>
    </row>
    <row r="770">
      <c r="D770" s="25"/>
    </row>
    <row r="771">
      <c r="D771" s="25"/>
    </row>
    <row r="772">
      <c r="D772" s="25"/>
    </row>
    <row r="773">
      <c r="D773" s="25"/>
    </row>
    <row r="774">
      <c r="D774" s="25"/>
    </row>
    <row r="775">
      <c r="D775" s="25"/>
    </row>
    <row r="776">
      <c r="D776" s="25"/>
    </row>
    <row r="777">
      <c r="D777" s="25"/>
    </row>
    <row r="778">
      <c r="D778" s="25"/>
    </row>
    <row r="779">
      <c r="D779" s="25"/>
    </row>
    <row r="780">
      <c r="D780" s="25"/>
    </row>
    <row r="781">
      <c r="D781" s="25"/>
    </row>
    <row r="782">
      <c r="D782" s="25"/>
    </row>
    <row r="783">
      <c r="D783" s="25"/>
    </row>
    <row r="784">
      <c r="D784" s="25"/>
    </row>
    <row r="785">
      <c r="D785" s="25"/>
    </row>
    <row r="786">
      <c r="D786" s="25"/>
    </row>
    <row r="787">
      <c r="D787" s="25"/>
    </row>
    <row r="788">
      <c r="D788" s="25"/>
    </row>
    <row r="789">
      <c r="D789" s="25"/>
    </row>
    <row r="790">
      <c r="D790" s="25"/>
    </row>
    <row r="791">
      <c r="D791" s="25"/>
    </row>
    <row r="792">
      <c r="D792" s="25"/>
    </row>
    <row r="793">
      <c r="D793" s="25"/>
    </row>
    <row r="794">
      <c r="D794" s="25"/>
    </row>
    <row r="795">
      <c r="D795" s="25"/>
    </row>
    <row r="796">
      <c r="D796" s="25"/>
    </row>
    <row r="797">
      <c r="D797" s="25"/>
    </row>
    <row r="798">
      <c r="D798" s="25"/>
    </row>
    <row r="799">
      <c r="D799" s="25"/>
    </row>
    <row r="800">
      <c r="D800" s="25"/>
    </row>
    <row r="801">
      <c r="D801" s="25"/>
    </row>
    <row r="802">
      <c r="D802" s="25"/>
    </row>
    <row r="803">
      <c r="D803" s="25"/>
    </row>
    <row r="804">
      <c r="D804" s="25"/>
    </row>
    <row r="805">
      <c r="D805" s="25"/>
    </row>
    <row r="806">
      <c r="D806" s="25"/>
    </row>
    <row r="807">
      <c r="D807" s="25"/>
    </row>
    <row r="808">
      <c r="D808" s="25"/>
    </row>
    <row r="809">
      <c r="D809" s="25"/>
    </row>
    <row r="810">
      <c r="D810" s="25"/>
    </row>
    <row r="811">
      <c r="D811" s="25"/>
    </row>
    <row r="812">
      <c r="D812" s="25"/>
    </row>
    <row r="813">
      <c r="D813" s="25"/>
    </row>
    <row r="814">
      <c r="D814" s="25"/>
    </row>
    <row r="815">
      <c r="D815" s="25"/>
    </row>
    <row r="816">
      <c r="D816" s="25"/>
    </row>
    <row r="817">
      <c r="D817" s="25"/>
    </row>
    <row r="818">
      <c r="D818" s="25"/>
    </row>
    <row r="819">
      <c r="D819" s="25"/>
    </row>
    <row r="820">
      <c r="D820" s="25"/>
    </row>
    <row r="821">
      <c r="D821" s="25"/>
    </row>
    <row r="822">
      <c r="D822" s="25"/>
    </row>
    <row r="823">
      <c r="D823" s="25"/>
    </row>
    <row r="824">
      <c r="D824" s="25"/>
    </row>
    <row r="825">
      <c r="D825" s="25"/>
    </row>
    <row r="826">
      <c r="D826" s="25"/>
    </row>
    <row r="827">
      <c r="D827" s="25"/>
    </row>
    <row r="828">
      <c r="D828" s="25"/>
    </row>
    <row r="829">
      <c r="D829" s="25"/>
    </row>
    <row r="830">
      <c r="D830" s="25"/>
    </row>
    <row r="831">
      <c r="D831" s="25"/>
    </row>
    <row r="832">
      <c r="D832" s="25"/>
    </row>
    <row r="833">
      <c r="D833" s="25"/>
    </row>
    <row r="834">
      <c r="D834" s="25"/>
    </row>
    <row r="835">
      <c r="D835" s="25"/>
    </row>
    <row r="836">
      <c r="D836" s="25"/>
    </row>
    <row r="837">
      <c r="D837" s="25"/>
    </row>
    <row r="838">
      <c r="D838" s="25"/>
    </row>
    <row r="839">
      <c r="D839" s="25"/>
    </row>
    <row r="840">
      <c r="D840" s="25"/>
    </row>
    <row r="841">
      <c r="D841" s="25"/>
    </row>
    <row r="842">
      <c r="D842" s="25"/>
    </row>
    <row r="843">
      <c r="D843" s="25"/>
    </row>
    <row r="844">
      <c r="D844" s="25"/>
    </row>
    <row r="845">
      <c r="D845" s="25"/>
    </row>
    <row r="846">
      <c r="D846" s="25"/>
    </row>
    <row r="847">
      <c r="D847" s="25"/>
    </row>
    <row r="848">
      <c r="D848" s="25"/>
    </row>
    <row r="849">
      <c r="D849" s="25"/>
    </row>
    <row r="850">
      <c r="D850" s="25"/>
    </row>
    <row r="851">
      <c r="D851" s="25"/>
    </row>
    <row r="852">
      <c r="D852" s="25"/>
    </row>
    <row r="853">
      <c r="D853" s="25"/>
    </row>
    <row r="854">
      <c r="D854" s="25"/>
    </row>
    <row r="855">
      <c r="D855" s="25"/>
    </row>
    <row r="856">
      <c r="D856" s="25"/>
    </row>
    <row r="857">
      <c r="D857" s="25"/>
    </row>
    <row r="858">
      <c r="D858" s="25"/>
    </row>
    <row r="859">
      <c r="D859" s="25"/>
    </row>
    <row r="860">
      <c r="D860" s="25"/>
    </row>
    <row r="861">
      <c r="D861" s="25"/>
    </row>
    <row r="862">
      <c r="D862" s="25"/>
    </row>
    <row r="863">
      <c r="D863" s="25"/>
    </row>
    <row r="864">
      <c r="D864" s="25"/>
    </row>
    <row r="865">
      <c r="D865" s="25"/>
    </row>
    <row r="866">
      <c r="D866" s="25"/>
    </row>
    <row r="867">
      <c r="D867" s="25"/>
    </row>
    <row r="868">
      <c r="D868" s="25"/>
    </row>
    <row r="869">
      <c r="D869" s="25"/>
    </row>
    <row r="870">
      <c r="D870" s="25"/>
    </row>
    <row r="871">
      <c r="D871" s="25"/>
    </row>
    <row r="872">
      <c r="D872" s="25"/>
    </row>
    <row r="873">
      <c r="D873" s="25"/>
    </row>
    <row r="874">
      <c r="D874" s="25"/>
    </row>
    <row r="875">
      <c r="D875" s="25"/>
    </row>
    <row r="876">
      <c r="D876" s="25"/>
    </row>
    <row r="877">
      <c r="D877" s="25"/>
    </row>
    <row r="878">
      <c r="D878" s="25"/>
    </row>
    <row r="879">
      <c r="D879" s="25"/>
    </row>
    <row r="880">
      <c r="D880" s="25"/>
    </row>
    <row r="881">
      <c r="D881" s="25"/>
    </row>
    <row r="882">
      <c r="D882" s="25"/>
    </row>
    <row r="883">
      <c r="D883" s="25"/>
    </row>
    <row r="884">
      <c r="D884" s="25"/>
    </row>
    <row r="885">
      <c r="D885" s="25"/>
    </row>
    <row r="886">
      <c r="D886" s="25"/>
    </row>
    <row r="887">
      <c r="D887" s="25"/>
    </row>
    <row r="888">
      <c r="D888" s="25"/>
    </row>
    <row r="889">
      <c r="D889" s="25"/>
    </row>
    <row r="890">
      <c r="D890" s="25"/>
    </row>
    <row r="891">
      <c r="D891" s="25"/>
    </row>
    <row r="892">
      <c r="D892" s="25"/>
    </row>
    <row r="893">
      <c r="D893" s="25"/>
    </row>
    <row r="894">
      <c r="D894" s="25"/>
    </row>
    <row r="895">
      <c r="D895" s="25"/>
    </row>
    <row r="896">
      <c r="D896" s="25"/>
    </row>
    <row r="897">
      <c r="D897" s="25"/>
    </row>
    <row r="898">
      <c r="D898" s="25"/>
    </row>
    <row r="899">
      <c r="D899" s="25"/>
    </row>
    <row r="900">
      <c r="D900" s="25"/>
    </row>
    <row r="901">
      <c r="D901" s="25"/>
    </row>
    <row r="902">
      <c r="D902" s="25"/>
    </row>
    <row r="903">
      <c r="D903" s="25"/>
    </row>
    <row r="904">
      <c r="D904" s="25"/>
    </row>
    <row r="905">
      <c r="D905" s="25"/>
    </row>
    <row r="906">
      <c r="D906" s="25"/>
    </row>
    <row r="907">
      <c r="D907" s="25"/>
    </row>
    <row r="908">
      <c r="D908" s="25"/>
    </row>
    <row r="909">
      <c r="D909" s="25"/>
    </row>
    <row r="910">
      <c r="D910" s="25"/>
    </row>
    <row r="911">
      <c r="D911" s="25"/>
    </row>
    <row r="912">
      <c r="D912" s="25"/>
    </row>
    <row r="913">
      <c r="D913" s="25"/>
    </row>
    <row r="914">
      <c r="D914" s="25"/>
    </row>
    <row r="915">
      <c r="D915" s="25"/>
    </row>
    <row r="916">
      <c r="D916" s="25"/>
    </row>
    <row r="917">
      <c r="D917" s="25"/>
    </row>
    <row r="918">
      <c r="D918" s="25"/>
    </row>
    <row r="919">
      <c r="D919" s="25"/>
    </row>
    <row r="920">
      <c r="D920" s="25"/>
    </row>
    <row r="921">
      <c r="D921" s="25"/>
    </row>
    <row r="922">
      <c r="D922" s="25"/>
    </row>
    <row r="923">
      <c r="D923" s="25"/>
    </row>
    <row r="924">
      <c r="D924" s="25"/>
    </row>
    <row r="925">
      <c r="D925" s="25"/>
    </row>
    <row r="926">
      <c r="D926" s="25"/>
    </row>
    <row r="927">
      <c r="D927" s="25"/>
    </row>
    <row r="928">
      <c r="D928" s="25"/>
    </row>
    <row r="929">
      <c r="D929" s="25"/>
    </row>
    <row r="930">
      <c r="D930" s="25"/>
    </row>
    <row r="931">
      <c r="D931" s="25"/>
    </row>
    <row r="932">
      <c r="D932" s="25"/>
    </row>
    <row r="933">
      <c r="D933" s="25"/>
    </row>
    <row r="934">
      <c r="D934" s="25"/>
    </row>
    <row r="935">
      <c r="D935" s="25"/>
    </row>
    <row r="936">
      <c r="D936" s="25"/>
    </row>
    <row r="937">
      <c r="D937" s="25"/>
    </row>
    <row r="938">
      <c r="D938" s="25"/>
    </row>
    <row r="939">
      <c r="D939" s="25"/>
    </row>
    <row r="940">
      <c r="D940" s="25"/>
    </row>
    <row r="941">
      <c r="D941" s="25"/>
    </row>
    <row r="942">
      <c r="D942" s="25"/>
    </row>
    <row r="943">
      <c r="D943" s="25"/>
    </row>
    <row r="944">
      <c r="D944" s="25"/>
    </row>
    <row r="945">
      <c r="D945" s="25"/>
    </row>
    <row r="946">
      <c r="D946" s="25"/>
    </row>
    <row r="947">
      <c r="D947" s="25"/>
    </row>
    <row r="948">
      <c r="D948" s="25"/>
    </row>
    <row r="949">
      <c r="D949" s="25"/>
    </row>
    <row r="950">
      <c r="D950" s="25"/>
    </row>
    <row r="951">
      <c r="D951" s="25"/>
    </row>
    <row r="952">
      <c r="D952" s="25"/>
    </row>
    <row r="953">
      <c r="D953" s="25"/>
    </row>
    <row r="954">
      <c r="D954" s="25"/>
    </row>
    <row r="955">
      <c r="D955" s="25"/>
    </row>
    <row r="956">
      <c r="D956" s="25"/>
    </row>
    <row r="957">
      <c r="D957" s="25"/>
    </row>
    <row r="958">
      <c r="D958" s="25"/>
    </row>
    <row r="959">
      <c r="D959" s="25"/>
    </row>
    <row r="960">
      <c r="D960" s="25"/>
    </row>
    <row r="961">
      <c r="D961" s="25"/>
    </row>
    <row r="962">
      <c r="D962" s="25"/>
    </row>
    <row r="963">
      <c r="D963" s="25"/>
    </row>
    <row r="964">
      <c r="D964" s="25"/>
    </row>
    <row r="965">
      <c r="D965" s="25"/>
    </row>
    <row r="966">
      <c r="D966" s="25"/>
    </row>
    <row r="967">
      <c r="D967" s="25"/>
    </row>
    <row r="968">
      <c r="D968" s="25"/>
    </row>
    <row r="969">
      <c r="D969" s="25"/>
    </row>
    <row r="970">
      <c r="D970" s="25"/>
    </row>
    <row r="971">
      <c r="D971" s="25"/>
    </row>
    <row r="972">
      <c r="D972" s="25"/>
    </row>
    <row r="973">
      <c r="D973" s="25"/>
    </row>
    <row r="974">
      <c r="D974" s="25"/>
    </row>
    <row r="975">
      <c r="D975" s="25"/>
    </row>
    <row r="976">
      <c r="D976" s="25"/>
    </row>
    <row r="977">
      <c r="D977" s="25"/>
    </row>
    <row r="978">
      <c r="D978" s="25"/>
    </row>
    <row r="979">
      <c r="D979" s="25"/>
    </row>
    <row r="980">
      <c r="D980" s="25"/>
    </row>
    <row r="981">
      <c r="D981" s="25"/>
    </row>
    <row r="982">
      <c r="D982" s="25"/>
    </row>
    <row r="983">
      <c r="D983" s="25"/>
    </row>
    <row r="984">
      <c r="D984" s="25"/>
    </row>
    <row r="985">
      <c r="D985" s="25"/>
    </row>
    <row r="986">
      <c r="D986" s="25"/>
    </row>
    <row r="987">
      <c r="D987" s="25"/>
    </row>
    <row r="988">
      <c r="D988" s="25"/>
    </row>
    <row r="989">
      <c r="D989" s="25"/>
    </row>
    <row r="990">
      <c r="D990" s="25"/>
    </row>
    <row r="991">
      <c r="D991" s="25"/>
    </row>
    <row r="992">
      <c r="D992" s="25"/>
    </row>
    <row r="993">
      <c r="D993" s="25"/>
    </row>
    <row r="994">
      <c r="D994" s="25"/>
    </row>
    <row r="995">
      <c r="D995" s="25"/>
    </row>
    <row r="996">
      <c r="D996" s="25"/>
    </row>
    <row r="997">
      <c r="D997" s="25"/>
    </row>
    <row r="998">
      <c r="D998" s="25"/>
    </row>
    <row r="999">
      <c r="D999" s="25"/>
    </row>
    <row r="1000">
      <c r="D1000" s="2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88"/>
    <col customWidth="1" min="3" max="3" width="13.5"/>
    <col customWidth="1" min="4" max="4" width="14.5"/>
    <col customWidth="1" min="5" max="5" width="16.63"/>
    <col customWidth="1" min="6" max="6" width="9.63"/>
    <col customWidth="1" min="7" max="28" width="14.38"/>
  </cols>
  <sheetData>
    <row r="1" ht="15.75" customHeight="1">
      <c r="A1" s="14" t="s">
        <v>34</v>
      </c>
      <c r="B1" s="14" t="s">
        <v>35</v>
      </c>
    </row>
    <row r="2" ht="15.75" customHeight="1">
      <c r="A2" s="15">
        <v>44013.0</v>
      </c>
      <c r="B2" s="9">
        <v>50.0</v>
      </c>
    </row>
    <row r="3" ht="15.75" customHeight="1">
      <c r="A3" s="15">
        <v>44014.0</v>
      </c>
      <c r="B3" s="9">
        <v>51.0</v>
      </c>
    </row>
    <row r="4" ht="15.75" customHeight="1">
      <c r="A4" s="15">
        <v>44015.0</v>
      </c>
      <c r="B4" s="9">
        <v>53.0</v>
      </c>
    </row>
    <row r="5" ht="15.75" customHeight="1">
      <c r="A5" s="15">
        <v>44016.0</v>
      </c>
      <c r="B5" s="9">
        <v>203.0</v>
      </c>
    </row>
    <row r="6" ht="15.75" customHeight="1">
      <c r="A6" s="15">
        <v>44017.0</v>
      </c>
      <c r="B6" s="9">
        <v>127.5</v>
      </c>
    </row>
    <row r="7" ht="15.75" customHeight="1">
      <c r="A7" s="15">
        <v>44018.0</v>
      </c>
      <c r="B7" s="9">
        <v>52.0</v>
      </c>
    </row>
    <row r="8" ht="15.75" customHeight="1">
      <c r="A8" s="15">
        <v>44019.0</v>
      </c>
      <c r="B8" s="9">
        <v>53.0</v>
      </c>
    </row>
    <row r="9" ht="15.75" customHeight="1">
      <c r="A9" s="15">
        <v>44020.0</v>
      </c>
      <c r="B9" s="9">
        <v>54.0</v>
      </c>
    </row>
    <row r="10" ht="15.75" customHeight="1">
      <c r="A10" s="15">
        <v>44021.0</v>
      </c>
      <c r="B10" s="9">
        <v>55.0</v>
      </c>
    </row>
    <row r="11" ht="15.75" customHeight="1">
      <c r="A11" s="15">
        <v>44022.0</v>
      </c>
      <c r="B11" s="9">
        <v>130.0</v>
      </c>
    </row>
    <row r="12" ht="15.75" customHeight="1">
      <c r="A12" s="15">
        <v>44023.0</v>
      </c>
      <c r="B12" s="9">
        <v>205.0</v>
      </c>
    </row>
    <row r="13" ht="15.75" customHeight="1">
      <c r="A13" s="15">
        <v>44024.0</v>
      </c>
      <c r="B13" s="9">
        <v>204.0</v>
      </c>
    </row>
    <row r="14" ht="15.75" customHeight="1">
      <c r="A14" s="15">
        <v>44025.0</v>
      </c>
      <c r="B14" s="9">
        <v>51.0</v>
      </c>
    </row>
    <row r="15" ht="15.75" customHeight="1">
      <c r="A15" s="15">
        <v>44026.0</v>
      </c>
      <c r="B15" s="9">
        <v>50.0</v>
      </c>
    </row>
    <row r="16" ht="15.75" customHeight="1">
      <c r="A16" s="15">
        <v>44027.0</v>
      </c>
      <c r="B16" s="9">
        <v>52.5</v>
      </c>
    </row>
    <row r="17" ht="15.75" customHeight="1">
      <c r="A17" s="15">
        <v>44028.0</v>
      </c>
      <c r="B17" s="9">
        <v>55.0</v>
      </c>
    </row>
    <row r="18" ht="15.75" customHeight="1">
      <c r="A18" s="15">
        <v>44029.0</v>
      </c>
      <c r="B18" s="9">
        <v>54.0</v>
      </c>
    </row>
    <row r="19" ht="15.75" customHeight="1">
      <c r="A19" s="15">
        <v>44030.0</v>
      </c>
      <c r="B19" s="9">
        <v>207.0</v>
      </c>
    </row>
    <row r="20" ht="15.75" customHeight="1">
      <c r="A20" s="15">
        <v>44031.0</v>
      </c>
      <c r="B20" s="9">
        <v>201.0</v>
      </c>
    </row>
    <row r="21" ht="15.75" customHeight="1">
      <c r="A21" s="15">
        <v>44032.0</v>
      </c>
      <c r="B21" s="9">
        <v>53.0</v>
      </c>
    </row>
    <row r="22" ht="15.75" customHeight="1">
      <c r="A22" s="15">
        <v>44033.0</v>
      </c>
      <c r="B22" s="9">
        <v>54.0</v>
      </c>
    </row>
    <row r="23" ht="15.75" customHeight="1">
      <c r="A23" s="15">
        <v>44034.0</v>
      </c>
      <c r="B23" s="9">
        <v>52.0</v>
      </c>
    </row>
    <row r="24" ht="15.75" customHeight="1">
      <c r="A24" s="15">
        <v>44035.0</v>
      </c>
      <c r="B24" s="9">
        <v>51.0</v>
      </c>
    </row>
    <row r="25" ht="15.75" customHeight="1">
      <c r="A25" s="15">
        <v>44036.0</v>
      </c>
      <c r="B25" s="9">
        <v>50.0</v>
      </c>
    </row>
    <row r="26" ht="15.75" customHeight="1">
      <c r="A26" s="15">
        <v>44037.0</v>
      </c>
      <c r="B26" s="9">
        <v>208.0</v>
      </c>
    </row>
    <row r="27" ht="15.75" customHeight="1">
      <c r="A27" s="15">
        <v>44038.0</v>
      </c>
      <c r="B27" s="9">
        <v>203.0</v>
      </c>
    </row>
    <row r="28" ht="15.75" customHeight="1">
      <c r="A28" s="15">
        <v>44039.0</v>
      </c>
      <c r="B28" s="9">
        <v>50.0</v>
      </c>
    </row>
    <row r="29" ht="15.75" customHeight="1">
      <c r="A29" s="15">
        <v>44040.0</v>
      </c>
      <c r="B29" s="9">
        <v>51.0</v>
      </c>
    </row>
    <row r="30" ht="15.75" customHeight="1">
      <c r="A30" s="15">
        <v>44041.0</v>
      </c>
      <c r="B30" s="9">
        <v>53.0</v>
      </c>
    </row>
    <row r="31" ht="15.75" customHeight="1">
      <c r="A31" s="15">
        <v>44042.0</v>
      </c>
      <c r="B31" s="9">
        <v>54.0</v>
      </c>
    </row>
    <row r="32" ht="15.75" customHeight="1">
      <c r="A32" s="15">
        <v>44043.0</v>
      </c>
      <c r="B32" s="9">
        <v>51.0</v>
      </c>
    </row>
    <row r="33" ht="15.75" customHeight="1">
      <c r="A33" s="15">
        <v>44044.0</v>
      </c>
      <c r="B33" s="9">
        <v>208.0</v>
      </c>
    </row>
    <row r="34" ht="15.75" customHeight="1">
      <c r="A34" s="15">
        <v>44045.0</v>
      </c>
      <c r="B34" s="9">
        <v>209.0</v>
      </c>
    </row>
    <row r="35" ht="15.75" customHeight="1">
      <c r="A35" s="15">
        <v>44046.0</v>
      </c>
      <c r="B35" s="9">
        <v>51.0</v>
      </c>
    </row>
    <row r="36" ht="15.75" customHeight="1">
      <c r="A36" s="15">
        <v>44047.0</v>
      </c>
      <c r="B36" s="9">
        <v>52.0</v>
      </c>
    </row>
    <row r="37" ht="15.75" customHeight="1">
      <c r="A37" s="15">
        <v>44048.0</v>
      </c>
      <c r="B37" s="9">
        <v>53.0</v>
      </c>
    </row>
    <row r="38" ht="15.75" customHeight="1">
      <c r="A38" s="15">
        <v>44049.0</v>
      </c>
      <c r="B38" s="9">
        <v>54.0</v>
      </c>
    </row>
    <row r="39" ht="15.75" customHeight="1">
      <c r="A39" s="15">
        <v>44050.0</v>
      </c>
      <c r="B39" s="9">
        <v>55.0</v>
      </c>
    </row>
    <row r="40" ht="15.75" customHeight="1">
      <c r="A40" s="15">
        <v>44051.0</v>
      </c>
      <c r="B40" s="9">
        <v>209.0</v>
      </c>
    </row>
    <row r="41" ht="15.75" customHeight="1">
      <c r="A41" s="15">
        <v>44052.0</v>
      </c>
      <c r="B41" s="9">
        <v>205.0</v>
      </c>
    </row>
    <row r="42" ht="15.75" customHeight="1">
      <c r="A42" s="15">
        <v>44053.0</v>
      </c>
      <c r="B42" s="9">
        <v>50.0</v>
      </c>
    </row>
    <row r="43" ht="15.75" customHeight="1">
      <c r="A43" s="15">
        <v>44054.0</v>
      </c>
      <c r="B43" s="9">
        <v>58.0</v>
      </c>
    </row>
    <row r="44" ht="15.75" customHeight="1">
      <c r="A44" s="15">
        <v>44055.0</v>
      </c>
      <c r="B44" s="9">
        <v>51.0</v>
      </c>
    </row>
    <row r="45" ht="15.75" customHeight="1">
      <c r="A45" s="15">
        <v>44056.0</v>
      </c>
      <c r="B45" s="9">
        <v>52.0</v>
      </c>
    </row>
    <row r="46" ht="15.75" customHeight="1">
      <c r="A46" s="15">
        <v>44057.0</v>
      </c>
      <c r="B46" s="9">
        <v>53.0</v>
      </c>
    </row>
    <row r="47" ht="15.75" customHeight="1">
      <c r="A47" s="15">
        <v>44058.0</v>
      </c>
      <c r="B47" s="9">
        <v>51.0</v>
      </c>
    </row>
    <row r="48" ht="15.75" customHeight="1"/>
    <row r="49" ht="15.75" customHeight="1"/>
    <row r="50" ht="15.75" customHeight="1">
      <c r="A50" s="26" t="s">
        <v>46</v>
      </c>
      <c r="B50" s="26" t="s">
        <v>35</v>
      </c>
      <c r="C50" s="26" t="s">
        <v>50</v>
      </c>
      <c r="D50" s="27" t="s">
        <v>51</v>
      </c>
      <c r="E50" s="27" t="s">
        <v>52</v>
      </c>
      <c r="F50" s="27" t="s">
        <v>53</v>
      </c>
    </row>
    <row r="51" ht="15.75" customHeight="1">
      <c r="A51" s="15">
        <v>43466.0</v>
      </c>
      <c r="B51" s="9">
        <v>880.0</v>
      </c>
      <c r="C51" s="9">
        <v>8.0</v>
      </c>
      <c r="D51" s="28">
        <f t="shared" ref="D51:D70" si="1">B51/C51</f>
        <v>110</v>
      </c>
    </row>
    <row r="52" ht="15.75" customHeight="1">
      <c r="A52" s="15">
        <v>43497.0</v>
      </c>
      <c r="B52" s="9">
        <v>1680.0</v>
      </c>
      <c r="C52" s="9">
        <v>8.0</v>
      </c>
      <c r="D52" s="28">
        <f t="shared" si="1"/>
        <v>210</v>
      </c>
      <c r="E52" s="28">
        <f t="shared" ref="E52:E70" si="2">D52-D51</f>
        <v>100</v>
      </c>
    </row>
    <row r="53" ht="15.75" customHeight="1">
      <c r="A53" s="15">
        <v>43525.0</v>
      </c>
      <c r="B53" s="9">
        <v>3200.0</v>
      </c>
      <c r="C53" s="9">
        <v>10.0</v>
      </c>
      <c r="D53" s="28">
        <f t="shared" si="1"/>
        <v>320</v>
      </c>
      <c r="E53" s="28">
        <f t="shared" si="2"/>
        <v>110</v>
      </c>
      <c r="F53" s="28">
        <f t="shared" ref="F53:F70" si="3">E53-E52</f>
        <v>10</v>
      </c>
    </row>
    <row r="54" ht="15.75" customHeight="1">
      <c r="A54" s="15">
        <v>43556.0</v>
      </c>
      <c r="B54" s="9">
        <v>3840.0</v>
      </c>
      <c r="C54" s="9">
        <v>8.0</v>
      </c>
      <c r="D54" s="28">
        <f t="shared" si="1"/>
        <v>480</v>
      </c>
      <c r="E54" s="28">
        <f t="shared" si="2"/>
        <v>160</v>
      </c>
      <c r="F54" s="28">
        <f t="shared" si="3"/>
        <v>50</v>
      </c>
    </row>
    <row r="55" ht="15.75" customHeight="1">
      <c r="A55" s="15">
        <v>43586.0</v>
      </c>
      <c r="B55" s="9">
        <v>5000.0</v>
      </c>
      <c r="C55" s="9">
        <v>8.0</v>
      </c>
      <c r="D55" s="28">
        <f t="shared" si="1"/>
        <v>625</v>
      </c>
      <c r="E55" s="28">
        <f t="shared" si="2"/>
        <v>145</v>
      </c>
      <c r="F55" s="28">
        <f t="shared" si="3"/>
        <v>-15</v>
      </c>
    </row>
    <row r="56" ht="15.75" customHeight="1">
      <c r="A56" s="15">
        <v>43617.0</v>
      </c>
      <c r="B56" s="9">
        <v>9000.0</v>
      </c>
      <c r="C56" s="9">
        <v>10.0</v>
      </c>
      <c r="D56" s="28">
        <f t="shared" si="1"/>
        <v>900</v>
      </c>
      <c r="E56" s="28">
        <f t="shared" si="2"/>
        <v>275</v>
      </c>
      <c r="F56" s="28">
        <f t="shared" si="3"/>
        <v>130</v>
      </c>
    </row>
    <row r="57" ht="15.75" customHeight="1">
      <c r="A57" s="15">
        <v>43647.0</v>
      </c>
      <c r="B57" s="9">
        <v>9000.0</v>
      </c>
      <c r="C57" s="9">
        <v>8.0</v>
      </c>
      <c r="D57" s="28">
        <f t="shared" si="1"/>
        <v>1125</v>
      </c>
      <c r="E57" s="28">
        <f t="shared" si="2"/>
        <v>225</v>
      </c>
      <c r="F57" s="28">
        <f t="shared" si="3"/>
        <v>-50</v>
      </c>
    </row>
    <row r="58" ht="15.75" customHeight="1">
      <c r="A58" s="15">
        <v>43678.0</v>
      </c>
      <c r="B58" s="9">
        <v>13000.0</v>
      </c>
      <c r="C58" s="9">
        <v>9.0</v>
      </c>
      <c r="D58" s="28">
        <f t="shared" si="1"/>
        <v>1444.444444</v>
      </c>
      <c r="E58" s="28">
        <f t="shared" si="2"/>
        <v>319.4444444</v>
      </c>
      <c r="F58" s="28">
        <f t="shared" si="3"/>
        <v>94.44444444</v>
      </c>
    </row>
    <row r="59" ht="15.75" customHeight="1">
      <c r="A59" s="15">
        <v>43709.0</v>
      </c>
      <c r="B59" s="9">
        <v>17000.0</v>
      </c>
      <c r="C59" s="9">
        <v>9.0</v>
      </c>
      <c r="D59" s="28">
        <f t="shared" si="1"/>
        <v>1888.888889</v>
      </c>
      <c r="E59" s="28">
        <f t="shared" si="2"/>
        <v>444.4444444</v>
      </c>
      <c r="F59" s="28">
        <f t="shared" si="3"/>
        <v>125</v>
      </c>
    </row>
    <row r="60" ht="15.75" customHeight="1">
      <c r="A60" s="15">
        <v>43739.0</v>
      </c>
      <c r="B60" s="9">
        <v>18550.0</v>
      </c>
      <c r="C60" s="9">
        <v>8.0</v>
      </c>
      <c r="D60" s="28">
        <f t="shared" si="1"/>
        <v>2318.75</v>
      </c>
      <c r="E60" s="28">
        <f t="shared" si="2"/>
        <v>429.8611111</v>
      </c>
      <c r="F60" s="28">
        <f t="shared" si="3"/>
        <v>-14.58333333</v>
      </c>
    </row>
    <row r="61" ht="15.75" customHeight="1">
      <c r="A61" s="15">
        <v>43770.0</v>
      </c>
      <c r="B61" s="9">
        <v>25000.0</v>
      </c>
      <c r="C61" s="9">
        <v>9.0</v>
      </c>
      <c r="D61" s="28">
        <f t="shared" si="1"/>
        <v>2777.777778</v>
      </c>
      <c r="E61" s="28">
        <f t="shared" si="2"/>
        <v>459.0277778</v>
      </c>
      <c r="F61" s="28">
        <f t="shared" si="3"/>
        <v>29.16666667</v>
      </c>
    </row>
    <row r="62" ht="15.75" customHeight="1">
      <c r="A62" s="15">
        <v>43800.0</v>
      </c>
      <c r="B62" s="9">
        <v>30000.0</v>
      </c>
      <c r="C62" s="9">
        <v>9.0</v>
      </c>
      <c r="D62" s="28">
        <f t="shared" si="1"/>
        <v>3333.333333</v>
      </c>
      <c r="E62" s="28">
        <f t="shared" si="2"/>
        <v>555.5555556</v>
      </c>
      <c r="F62" s="28">
        <f t="shared" si="3"/>
        <v>96.52777778</v>
      </c>
    </row>
    <row r="63" ht="15.75" customHeight="1">
      <c r="A63" s="15">
        <v>43831.0</v>
      </c>
      <c r="B63" s="9">
        <v>30000.0</v>
      </c>
      <c r="C63" s="9">
        <v>8.0</v>
      </c>
      <c r="D63" s="28">
        <f t="shared" si="1"/>
        <v>3750</v>
      </c>
      <c r="E63" s="28">
        <f t="shared" si="2"/>
        <v>416.6666667</v>
      </c>
      <c r="F63" s="28">
        <f t="shared" si="3"/>
        <v>-138.8888889</v>
      </c>
    </row>
    <row r="64" ht="15.75" customHeight="1">
      <c r="A64" s="15">
        <v>43862.0</v>
      </c>
      <c r="B64" s="9">
        <v>38000.0</v>
      </c>
      <c r="C64" s="9">
        <v>9.0</v>
      </c>
      <c r="D64" s="28">
        <f t="shared" si="1"/>
        <v>4222.222222</v>
      </c>
      <c r="E64" s="28">
        <f t="shared" si="2"/>
        <v>472.2222222</v>
      </c>
      <c r="F64" s="28">
        <f t="shared" si="3"/>
        <v>55.55555556</v>
      </c>
    </row>
    <row r="65" ht="15.75" customHeight="1">
      <c r="A65" s="15">
        <v>43891.0</v>
      </c>
      <c r="B65" s="9">
        <v>42000.0</v>
      </c>
      <c r="C65" s="9">
        <v>9.0</v>
      </c>
      <c r="D65" s="28">
        <f t="shared" si="1"/>
        <v>4666.666667</v>
      </c>
      <c r="E65" s="28">
        <f t="shared" si="2"/>
        <v>444.4444444</v>
      </c>
      <c r="F65" s="28">
        <f t="shared" si="3"/>
        <v>-27.77777778</v>
      </c>
    </row>
    <row r="66" ht="15.75" customHeight="1">
      <c r="A66" s="15">
        <v>43922.0</v>
      </c>
      <c r="B66" s="9">
        <v>42000.0</v>
      </c>
      <c r="C66" s="9">
        <v>8.0</v>
      </c>
      <c r="D66" s="28">
        <f t="shared" si="1"/>
        <v>5250</v>
      </c>
      <c r="E66" s="28">
        <f t="shared" si="2"/>
        <v>583.3333333</v>
      </c>
      <c r="F66" s="28">
        <f t="shared" si="3"/>
        <v>138.8888889</v>
      </c>
    </row>
    <row r="67" ht="15.75" customHeight="1">
      <c r="A67" s="15">
        <v>43952.0</v>
      </c>
      <c r="B67" s="9">
        <v>58000.0</v>
      </c>
      <c r="C67" s="9">
        <v>10.0</v>
      </c>
      <c r="D67" s="28">
        <f t="shared" si="1"/>
        <v>5800</v>
      </c>
      <c r="E67" s="28">
        <f t="shared" si="2"/>
        <v>550</v>
      </c>
      <c r="F67" s="28">
        <f t="shared" si="3"/>
        <v>-33.33333333</v>
      </c>
    </row>
    <row r="68" ht="15.75" customHeight="1">
      <c r="A68" s="15">
        <v>43983.0</v>
      </c>
      <c r="B68" s="9">
        <v>51000.0</v>
      </c>
      <c r="C68" s="9">
        <v>8.0</v>
      </c>
      <c r="D68" s="28">
        <f t="shared" si="1"/>
        <v>6375</v>
      </c>
      <c r="E68" s="28">
        <f t="shared" si="2"/>
        <v>575</v>
      </c>
      <c r="F68" s="28">
        <f t="shared" si="3"/>
        <v>25</v>
      </c>
    </row>
    <row r="69" ht="15.75" customHeight="1">
      <c r="A69" s="15">
        <v>44013.0</v>
      </c>
      <c r="B69" s="9">
        <v>56000.0</v>
      </c>
      <c r="C69" s="9">
        <v>8.0</v>
      </c>
      <c r="D69" s="28">
        <f t="shared" si="1"/>
        <v>7000</v>
      </c>
      <c r="E69" s="28">
        <f t="shared" si="2"/>
        <v>625</v>
      </c>
      <c r="F69" s="28">
        <f t="shared" si="3"/>
        <v>50</v>
      </c>
    </row>
    <row r="70" ht="15.75" customHeight="1">
      <c r="A70" s="15">
        <v>44044.0</v>
      </c>
      <c r="B70" s="9">
        <v>75000.0</v>
      </c>
      <c r="C70" s="9">
        <v>10.0</v>
      </c>
      <c r="D70" s="28">
        <f t="shared" si="1"/>
        <v>7500</v>
      </c>
      <c r="E70" s="28">
        <f t="shared" si="2"/>
        <v>500</v>
      </c>
      <c r="F70" s="28">
        <f t="shared" si="3"/>
        <v>-125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25"/>
    <col customWidth="1" min="3" max="3" width="8.88"/>
    <col customWidth="1" min="4" max="4" width="18.13"/>
    <col customWidth="1" min="5" max="5" width="23.25"/>
    <col customWidth="1" min="6" max="6" width="9.63"/>
    <col customWidth="1" min="7" max="27" width="14.38"/>
  </cols>
  <sheetData>
    <row r="1">
      <c r="A1" s="23" t="s">
        <v>46</v>
      </c>
      <c r="B1" s="23" t="s">
        <v>47</v>
      </c>
      <c r="C1" s="23" t="s">
        <v>48</v>
      </c>
      <c r="D1" s="23" t="s">
        <v>54</v>
      </c>
      <c r="E1" s="29" t="s">
        <v>55</v>
      </c>
      <c r="F1" s="29" t="s">
        <v>53</v>
      </c>
    </row>
    <row r="2">
      <c r="A2" s="15">
        <v>43466.0</v>
      </c>
      <c r="B2" s="9">
        <v>1215.0</v>
      </c>
      <c r="C2" s="9">
        <v>22.0</v>
      </c>
      <c r="D2" s="30">
        <f t="shared" ref="D2:D21" si="1">B2/C2</f>
        <v>55.22727273</v>
      </c>
    </row>
    <row r="3">
      <c r="A3" s="15">
        <v>43497.0</v>
      </c>
      <c r="B3" s="9">
        <v>1215.0</v>
      </c>
      <c r="C3" s="9">
        <v>20.0</v>
      </c>
      <c r="D3" s="30">
        <f t="shared" si="1"/>
        <v>60.75</v>
      </c>
      <c r="E3" s="25">
        <f t="shared" ref="E3:E21" si="2">D3-D2</f>
        <v>5.522727273</v>
      </c>
    </row>
    <row r="4">
      <c r="A4" s="15">
        <v>43525.0</v>
      </c>
      <c r="B4" s="9">
        <v>1300.0</v>
      </c>
      <c r="C4" s="9">
        <v>20.0</v>
      </c>
      <c r="D4" s="30">
        <f t="shared" si="1"/>
        <v>65</v>
      </c>
      <c r="E4" s="25">
        <f t="shared" si="2"/>
        <v>4.25</v>
      </c>
      <c r="F4" s="25">
        <f t="shared" ref="F4:F21" si="3">E4-E3</f>
        <v>-1.272727273</v>
      </c>
    </row>
    <row r="5">
      <c r="A5" s="15">
        <v>43556.0</v>
      </c>
      <c r="B5" s="9">
        <v>1450.0</v>
      </c>
      <c r="C5" s="9">
        <v>21.0</v>
      </c>
      <c r="D5" s="30">
        <f t="shared" si="1"/>
        <v>69.04761905</v>
      </c>
      <c r="E5" s="25">
        <f t="shared" si="2"/>
        <v>4.047619048</v>
      </c>
      <c r="F5" s="25">
        <f t="shared" si="3"/>
        <v>-0.2023809524</v>
      </c>
    </row>
    <row r="6">
      <c r="A6" s="15">
        <v>43586.0</v>
      </c>
      <c r="B6" s="9">
        <v>1600.0</v>
      </c>
      <c r="C6" s="9">
        <v>22.0</v>
      </c>
      <c r="D6" s="30">
        <f t="shared" si="1"/>
        <v>72.72727273</v>
      </c>
      <c r="E6" s="25">
        <f t="shared" si="2"/>
        <v>3.67965368</v>
      </c>
      <c r="F6" s="25">
        <f t="shared" si="3"/>
        <v>-0.367965368</v>
      </c>
    </row>
    <row r="7">
      <c r="A7" s="15">
        <v>43617.0</v>
      </c>
      <c r="B7" s="9">
        <v>1600.0</v>
      </c>
      <c r="C7" s="9">
        <v>20.0</v>
      </c>
      <c r="D7" s="30">
        <f t="shared" si="1"/>
        <v>80</v>
      </c>
      <c r="E7" s="25">
        <f t="shared" si="2"/>
        <v>7.272727273</v>
      </c>
      <c r="F7" s="25">
        <f t="shared" si="3"/>
        <v>3.593073593</v>
      </c>
    </row>
    <row r="8">
      <c r="A8" s="15">
        <v>43647.0</v>
      </c>
      <c r="B8" s="9">
        <v>1950.0</v>
      </c>
      <c r="C8" s="9">
        <v>23.0</v>
      </c>
      <c r="D8" s="30">
        <f t="shared" si="1"/>
        <v>84.7826087</v>
      </c>
      <c r="E8" s="25">
        <f t="shared" si="2"/>
        <v>4.782608696</v>
      </c>
      <c r="F8" s="25">
        <f t="shared" si="3"/>
        <v>-2.490118577</v>
      </c>
    </row>
    <row r="9">
      <c r="A9" s="15">
        <v>43678.0</v>
      </c>
      <c r="B9" s="9">
        <v>2000.0</v>
      </c>
      <c r="C9" s="9">
        <v>22.0</v>
      </c>
      <c r="D9" s="30">
        <f t="shared" si="1"/>
        <v>90.90909091</v>
      </c>
      <c r="E9" s="25">
        <f t="shared" si="2"/>
        <v>6.126482213</v>
      </c>
      <c r="F9" s="25">
        <f t="shared" si="3"/>
        <v>1.343873518</v>
      </c>
    </row>
    <row r="10">
      <c r="A10" s="15">
        <v>43709.0</v>
      </c>
      <c r="B10" s="9">
        <v>2000.0</v>
      </c>
      <c r="C10" s="9">
        <v>21.0</v>
      </c>
      <c r="D10" s="30">
        <f t="shared" si="1"/>
        <v>95.23809524</v>
      </c>
      <c r="E10" s="25">
        <f t="shared" si="2"/>
        <v>4.329004329</v>
      </c>
      <c r="F10" s="25">
        <f t="shared" si="3"/>
        <v>-1.797477884</v>
      </c>
    </row>
    <row r="11">
      <c r="A11" s="15">
        <v>43739.0</v>
      </c>
      <c r="B11" s="9">
        <v>2300.0</v>
      </c>
      <c r="C11" s="9">
        <v>23.0</v>
      </c>
      <c r="D11" s="30">
        <f t="shared" si="1"/>
        <v>100</v>
      </c>
      <c r="E11" s="25">
        <f t="shared" si="2"/>
        <v>4.761904762</v>
      </c>
      <c r="F11" s="25">
        <f t="shared" si="3"/>
        <v>0.4329004329</v>
      </c>
    </row>
    <row r="12">
      <c r="A12" s="15">
        <v>43770.0</v>
      </c>
      <c r="B12" s="9">
        <v>2100.0</v>
      </c>
      <c r="C12" s="9">
        <v>20.0</v>
      </c>
      <c r="D12" s="30">
        <f t="shared" si="1"/>
        <v>105</v>
      </c>
      <c r="E12" s="25">
        <f t="shared" si="2"/>
        <v>5</v>
      </c>
      <c r="F12" s="25">
        <f t="shared" si="3"/>
        <v>0.2380952381</v>
      </c>
    </row>
    <row r="13">
      <c r="A13" s="15">
        <v>43800.0</v>
      </c>
      <c r="B13" s="9">
        <v>2300.0</v>
      </c>
      <c r="C13" s="9">
        <v>21.0</v>
      </c>
      <c r="D13" s="30">
        <f t="shared" si="1"/>
        <v>109.5238095</v>
      </c>
      <c r="E13" s="25">
        <f t="shared" si="2"/>
        <v>4.523809524</v>
      </c>
      <c r="F13" s="25">
        <f t="shared" si="3"/>
        <v>-0.4761904762</v>
      </c>
    </row>
    <row r="14">
      <c r="A14" s="15">
        <v>43831.0</v>
      </c>
      <c r="B14" s="9">
        <v>2500.0</v>
      </c>
      <c r="C14" s="9">
        <v>22.0</v>
      </c>
      <c r="D14" s="30">
        <f t="shared" si="1"/>
        <v>113.6363636</v>
      </c>
      <c r="E14" s="25">
        <f t="shared" si="2"/>
        <v>4.112554113</v>
      </c>
      <c r="F14" s="25">
        <f t="shared" si="3"/>
        <v>-0.4112554113</v>
      </c>
    </row>
    <row r="15">
      <c r="A15" s="15">
        <v>43862.0</v>
      </c>
      <c r="B15" s="9">
        <v>2300.0</v>
      </c>
      <c r="C15" s="9">
        <v>19.0</v>
      </c>
      <c r="D15" s="30">
        <f t="shared" si="1"/>
        <v>121.0526316</v>
      </c>
      <c r="E15" s="25">
        <f t="shared" si="2"/>
        <v>7.416267943</v>
      </c>
      <c r="F15" s="25">
        <f t="shared" si="3"/>
        <v>3.30371383</v>
      </c>
    </row>
    <row r="16">
      <c r="A16" s="15">
        <v>43891.0</v>
      </c>
      <c r="B16" s="9">
        <v>2800.0</v>
      </c>
      <c r="C16" s="9">
        <v>22.0</v>
      </c>
      <c r="D16" s="30">
        <f t="shared" si="1"/>
        <v>127.2727273</v>
      </c>
      <c r="E16" s="25">
        <f t="shared" si="2"/>
        <v>6.220095694</v>
      </c>
      <c r="F16" s="25">
        <f t="shared" si="3"/>
        <v>-1.196172249</v>
      </c>
    </row>
    <row r="17">
      <c r="A17" s="15">
        <v>43922.0</v>
      </c>
      <c r="B17" s="9">
        <v>2700.0</v>
      </c>
      <c r="C17" s="9">
        <v>20.0</v>
      </c>
      <c r="D17" s="30">
        <f t="shared" si="1"/>
        <v>135</v>
      </c>
      <c r="E17" s="25">
        <f t="shared" si="2"/>
        <v>7.727272727</v>
      </c>
      <c r="F17" s="25">
        <f t="shared" si="3"/>
        <v>1.507177033</v>
      </c>
    </row>
    <row r="18">
      <c r="A18" s="15">
        <v>43952.0</v>
      </c>
      <c r="B18" s="9">
        <v>2800.0</v>
      </c>
      <c r="C18" s="9">
        <v>20.0</v>
      </c>
      <c r="D18" s="30">
        <f t="shared" si="1"/>
        <v>140</v>
      </c>
      <c r="E18" s="25">
        <f t="shared" si="2"/>
        <v>5</v>
      </c>
      <c r="F18" s="25">
        <f t="shared" si="3"/>
        <v>-2.727272727</v>
      </c>
    </row>
    <row r="19">
      <c r="A19" s="15">
        <v>43983.0</v>
      </c>
      <c r="B19" s="9">
        <v>3200.0</v>
      </c>
      <c r="C19" s="9">
        <v>22.0</v>
      </c>
      <c r="D19" s="30">
        <f t="shared" si="1"/>
        <v>145.4545455</v>
      </c>
      <c r="E19" s="25">
        <f t="shared" si="2"/>
        <v>5.454545455</v>
      </c>
      <c r="F19" s="25">
        <f t="shared" si="3"/>
        <v>0.4545454545</v>
      </c>
    </row>
    <row r="20">
      <c r="A20" s="15">
        <v>44013.0</v>
      </c>
      <c r="B20" s="9">
        <v>3500.0</v>
      </c>
      <c r="C20" s="9">
        <v>23.0</v>
      </c>
      <c r="D20" s="30">
        <f t="shared" si="1"/>
        <v>152.173913</v>
      </c>
      <c r="E20" s="25">
        <f t="shared" si="2"/>
        <v>6.719367589</v>
      </c>
      <c r="F20" s="25">
        <f t="shared" si="3"/>
        <v>1.264822134</v>
      </c>
    </row>
    <row r="21">
      <c r="A21" s="15">
        <v>44044.0</v>
      </c>
      <c r="B21" s="9">
        <v>3350.0</v>
      </c>
      <c r="C21" s="9">
        <v>21.0</v>
      </c>
      <c r="D21" s="30">
        <f t="shared" si="1"/>
        <v>159.5238095</v>
      </c>
      <c r="E21" s="25">
        <f t="shared" si="2"/>
        <v>7.34989648</v>
      </c>
      <c r="F21" s="25">
        <f t="shared" si="3"/>
        <v>0.6305288914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7.88"/>
    <col customWidth="1" min="3" max="3" width="6.88"/>
    <col customWidth="1" min="4" max="4" width="9.88"/>
    <col customWidth="1" min="5" max="27" width="14.38"/>
  </cols>
  <sheetData>
    <row r="1">
      <c r="A1" s="23" t="s">
        <v>56</v>
      </c>
      <c r="B1" s="23" t="s">
        <v>35</v>
      </c>
      <c r="C1" s="23" t="s">
        <v>25</v>
      </c>
      <c r="D1" s="31" t="s">
        <v>57</v>
      </c>
    </row>
    <row r="2">
      <c r="A2" s="32">
        <v>43466.0</v>
      </c>
      <c r="B2" s="9">
        <v>980.0</v>
      </c>
      <c r="C2" s="9">
        <v>100.0</v>
      </c>
      <c r="D2" s="33">
        <f t="shared" ref="D2:D22" si="1">C2/B2</f>
        <v>0.1020408163</v>
      </c>
    </row>
    <row r="3">
      <c r="A3" s="32">
        <v>43497.0</v>
      </c>
      <c r="B3" s="9">
        <v>1230.0</v>
      </c>
      <c r="C3" s="9">
        <v>120.0</v>
      </c>
      <c r="D3" s="33">
        <f t="shared" si="1"/>
        <v>0.09756097561</v>
      </c>
    </row>
    <row r="4">
      <c r="A4" s="32">
        <v>43525.0</v>
      </c>
      <c r="B4" s="9">
        <v>1450.0</v>
      </c>
      <c r="C4" s="9">
        <v>150.0</v>
      </c>
      <c r="D4" s="33">
        <f t="shared" si="1"/>
        <v>0.1034482759</v>
      </c>
    </row>
    <row r="5">
      <c r="A5" s="32">
        <v>43556.0</v>
      </c>
      <c r="B5" s="9">
        <v>1400.0</v>
      </c>
      <c r="C5" s="9">
        <v>152.0</v>
      </c>
      <c r="D5" s="33">
        <f t="shared" si="1"/>
        <v>0.1085714286</v>
      </c>
    </row>
    <row r="6">
      <c r="A6" s="32">
        <v>43586.0</v>
      </c>
      <c r="B6" s="9">
        <v>1700.0</v>
      </c>
      <c r="C6" s="9">
        <v>180.0</v>
      </c>
      <c r="D6" s="33">
        <f t="shared" si="1"/>
        <v>0.1058823529</v>
      </c>
    </row>
    <row r="7">
      <c r="A7" s="32">
        <v>43617.0</v>
      </c>
      <c r="B7" s="9">
        <v>1800.0</v>
      </c>
      <c r="C7" s="9">
        <v>190.0</v>
      </c>
      <c r="D7" s="33">
        <f t="shared" si="1"/>
        <v>0.1055555556</v>
      </c>
    </row>
    <row r="8">
      <c r="A8" s="32">
        <v>43647.0</v>
      </c>
      <c r="B8" s="9">
        <v>2300.0</v>
      </c>
      <c r="C8" s="9">
        <v>245.0</v>
      </c>
      <c r="D8" s="33">
        <f t="shared" si="1"/>
        <v>0.1065217391</v>
      </c>
    </row>
    <row r="9">
      <c r="A9" s="32">
        <v>43678.0</v>
      </c>
      <c r="B9" s="9">
        <v>2500.0</v>
      </c>
      <c r="C9" s="9">
        <v>265.0</v>
      </c>
      <c r="D9" s="33">
        <f t="shared" si="1"/>
        <v>0.106</v>
      </c>
    </row>
    <row r="10">
      <c r="A10" s="32">
        <v>43709.0</v>
      </c>
      <c r="B10" s="9">
        <v>2830.0</v>
      </c>
      <c r="C10" s="9">
        <v>320.0</v>
      </c>
      <c r="D10" s="33">
        <f t="shared" si="1"/>
        <v>0.1130742049</v>
      </c>
    </row>
    <row r="11">
      <c r="A11" s="32">
        <v>43739.0</v>
      </c>
      <c r="B11" s="9">
        <v>2940.0</v>
      </c>
      <c r="C11" s="9">
        <v>335.0</v>
      </c>
      <c r="D11" s="33">
        <f t="shared" si="1"/>
        <v>0.1139455782</v>
      </c>
    </row>
    <row r="12">
      <c r="A12" s="32">
        <v>43770.0</v>
      </c>
      <c r="B12" s="9">
        <v>3210.0</v>
      </c>
      <c r="C12" s="9">
        <v>357.0</v>
      </c>
      <c r="D12" s="33">
        <f t="shared" si="1"/>
        <v>0.1112149533</v>
      </c>
    </row>
    <row r="13">
      <c r="A13" s="32">
        <v>43800.0</v>
      </c>
      <c r="B13" s="9">
        <v>3330.0</v>
      </c>
      <c r="C13" s="9">
        <v>370.0</v>
      </c>
      <c r="D13" s="33">
        <f t="shared" si="1"/>
        <v>0.1111111111</v>
      </c>
    </row>
    <row r="14">
      <c r="A14" s="32">
        <v>43831.0</v>
      </c>
      <c r="B14" s="9">
        <v>3145.0</v>
      </c>
      <c r="C14" s="9">
        <v>372.0</v>
      </c>
      <c r="D14" s="33">
        <f t="shared" si="1"/>
        <v>0.1182829889</v>
      </c>
    </row>
    <row r="15">
      <c r="A15" s="32">
        <v>43862.0</v>
      </c>
      <c r="B15" s="9">
        <v>2980.0</v>
      </c>
      <c r="C15" s="9">
        <v>350.0</v>
      </c>
      <c r="D15" s="33">
        <f t="shared" si="1"/>
        <v>0.1174496644</v>
      </c>
    </row>
    <row r="16">
      <c r="A16" s="32">
        <v>43891.0</v>
      </c>
      <c r="B16" s="9">
        <v>3005.0</v>
      </c>
      <c r="C16" s="9">
        <v>345.0</v>
      </c>
      <c r="D16" s="33">
        <f t="shared" si="1"/>
        <v>0.1148086522</v>
      </c>
    </row>
    <row r="17">
      <c r="A17" s="32">
        <v>43922.0</v>
      </c>
      <c r="B17" s="9">
        <v>2975.0</v>
      </c>
      <c r="C17" s="9">
        <v>375.0</v>
      </c>
      <c r="D17" s="33">
        <f t="shared" si="1"/>
        <v>0.1260504202</v>
      </c>
    </row>
    <row r="18">
      <c r="A18" s="32">
        <v>43952.0</v>
      </c>
      <c r="B18" s="9">
        <v>2847.0</v>
      </c>
      <c r="C18" s="9">
        <v>380.0</v>
      </c>
      <c r="D18" s="33">
        <f t="shared" si="1"/>
        <v>0.1334738321</v>
      </c>
    </row>
    <row r="19">
      <c r="A19" s="32">
        <v>43983.0</v>
      </c>
      <c r="B19" s="9">
        <v>2802.0</v>
      </c>
      <c r="C19" s="9">
        <v>390.0</v>
      </c>
      <c r="D19" s="33">
        <f t="shared" si="1"/>
        <v>0.1391862955</v>
      </c>
    </row>
    <row r="20">
      <c r="A20" s="32">
        <v>44013.0</v>
      </c>
      <c r="B20" s="9">
        <v>2800.0</v>
      </c>
      <c r="C20" s="9">
        <v>400.0</v>
      </c>
      <c r="D20" s="33">
        <f t="shared" si="1"/>
        <v>0.1428571429</v>
      </c>
    </row>
    <row r="21">
      <c r="A21" s="32">
        <v>44044.0</v>
      </c>
      <c r="B21" s="9">
        <v>2850.0</v>
      </c>
      <c r="C21" s="9">
        <v>405.0</v>
      </c>
      <c r="D21" s="33">
        <f t="shared" si="1"/>
        <v>0.1421052632</v>
      </c>
    </row>
    <row r="22">
      <c r="A22" s="32">
        <v>44075.0</v>
      </c>
      <c r="B22" s="9">
        <v>2789.0</v>
      </c>
      <c r="C22" s="9">
        <v>398.0</v>
      </c>
      <c r="D22" s="33">
        <f t="shared" si="1"/>
        <v>0.1427034779</v>
      </c>
    </row>
    <row r="23">
      <c r="D23" s="33"/>
    </row>
    <row r="24">
      <c r="D24" s="33"/>
    </row>
    <row r="25">
      <c r="D25" s="33"/>
    </row>
    <row r="26">
      <c r="D26" s="33"/>
    </row>
    <row r="27">
      <c r="D27" s="33"/>
    </row>
    <row r="28">
      <c r="D28" s="33"/>
    </row>
    <row r="29">
      <c r="D29" s="33"/>
    </row>
    <row r="30">
      <c r="D30" s="33"/>
    </row>
    <row r="31">
      <c r="D31" s="33"/>
    </row>
    <row r="32">
      <c r="D32" s="33"/>
    </row>
    <row r="33">
      <c r="D33" s="33"/>
    </row>
    <row r="34">
      <c r="D34" s="33"/>
    </row>
    <row r="35">
      <c r="D35" s="33"/>
    </row>
    <row r="36">
      <c r="D36" s="33"/>
    </row>
    <row r="37">
      <c r="D37" s="33"/>
    </row>
    <row r="38">
      <c r="D38" s="33"/>
    </row>
    <row r="39">
      <c r="D39" s="33"/>
    </row>
    <row r="40">
      <c r="D40" s="33"/>
    </row>
    <row r="41">
      <c r="D41" s="33"/>
    </row>
    <row r="42">
      <c r="D42" s="33"/>
    </row>
    <row r="43">
      <c r="D43" s="33"/>
    </row>
    <row r="44">
      <c r="D44" s="33"/>
    </row>
    <row r="45">
      <c r="D45" s="33"/>
    </row>
    <row r="46">
      <c r="D46" s="33"/>
    </row>
    <row r="47">
      <c r="D47" s="33"/>
    </row>
    <row r="48">
      <c r="D48" s="33"/>
    </row>
    <row r="49">
      <c r="D49" s="33"/>
    </row>
    <row r="50">
      <c r="D50" s="33"/>
    </row>
    <row r="51">
      <c r="D51" s="33"/>
    </row>
    <row r="52">
      <c r="D52" s="33"/>
    </row>
    <row r="53">
      <c r="D53" s="33"/>
    </row>
    <row r="54">
      <c r="D54" s="33"/>
    </row>
    <row r="55">
      <c r="D55" s="33"/>
    </row>
    <row r="56">
      <c r="D56" s="33"/>
    </row>
    <row r="57">
      <c r="D57" s="33"/>
    </row>
    <row r="58">
      <c r="D58" s="33"/>
    </row>
    <row r="59">
      <c r="D59" s="33"/>
    </row>
    <row r="60">
      <c r="D60" s="33"/>
    </row>
    <row r="61">
      <c r="D61" s="33"/>
    </row>
    <row r="62">
      <c r="D62" s="33"/>
    </row>
    <row r="63">
      <c r="D63" s="33"/>
    </row>
    <row r="64">
      <c r="D64" s="33"/>
    </row>
    <row r="65">
      <c r="D65" s="33"/>
    </row>
    <row r="66">
      <c r="D66" s="33"/>
    </row>
    <row r="67">
      <c r="D67" s="33"/>
    </row>
    <row r="68">
      <c r="D68" s="33"/>
    </row>
    <row r="69">
      <c r="D69" s="33"/>
    </row>
    <row r="70">
      <c r="D70" s="33"/>
    </row>
    <row r="71">
      <c r="D71" s="33"/>
    </row>
    <row r="72">
      <c r="D72" s="33"/>
    </row>
    <row r="73">
      <c r="D73" s="33"/>
    </row>
    <row r="74">
      <c r="D74" s="33"/>
    </row>
    <row r="75">
      <c r="D75" s="33"/>
    </row>
    <row r="76">
      <c r="D76" s="33"/>
    </row>
    <row r="77">
      <c r="D77" s="33"/>
    </row>
    <row r="78">
      <c r="D78" s="33"/>
    </row>
    <row r="79">
      <c r="D79" s="33"/>
    </row>
    <row r="80">
      <c r="D80" s="33"/>
    </row>
    <row r="81">
      <c r="D81" s="33"/>
    </row>
    <row r="82">
      <c r="D82" s="33"/>
    </row>
    <row r="83">
      <c r="D83" s="33"/>
    </row>
    <row r="84">
      <c r="D84" s="33"/>
    </row>
    <row r="85">
      <c r="D85" s="33"/>
    </row>
    <row r="86">
      <c r="D86" s="33"/>
    </row>
    <row r="87">
      <c r="D87" s="33"/>
    </row>
    <row r="88">
      <c r="D88" s="33"/>
    </row>
    <row r="89">
      <c r="D89" s="33"/>
    </row>
    <row r="90">
      <c r="D90" s="33"/>
    </row>
    <row r="91">
      <c r="D91" s="33"/>
    </row>
    <row r="92">
      <c r="D92" s="33"/>
    </row>
    <row r="93">
      <c r="D93" s="33"/>
    </row>
    <row r="94">
      <c r="D94" s="33"/>
    </row>
    <row r="95">
      <c r="D95" s="33"/>
    </row>
    <row r="96">
      <c r="D96" s="33"/>
    </row>
    <row r="97">
      <c r="D97" s="33"/>
    </row>
    <row r="98">
      <c r="D98" s="33"/>
    </row>
    <row r="99">
      <c r="D99" s="33"/>
    </row>
    <row r="100">
      <c r="D100" s="33"/>
    </row>
    <row r="101">
      <c r="D101" s="33"/>
    </row>
    <row r="102">
      <c r="D102" s="33"/>
    </row>
    <row r="103">
      <c r="D103" s="33"/>
    </row>
    <row r="104">
      <c r="D104" s="33"/>
    </row>
    <row r="105">
      <c r="D105" s="33"/>
    </row>
    <row r="106">
      <c r="D106" s="33"/>
    </row>
    <row r="107">
      <c r="D107" s="33"/>
    </row>
    <row r="108">
      <c r="D108" s="33"/>
    </row>
    <row r="109">
      <c r="D109" s="33"/>
    </row>
    <row r="110">
      <c r="D110" s="33"/>
    </row>
    <row r="111">
      <c r="D111" s="33"/>
    </row>
    <row r="112">
      <c r="D112" s="33"/>
    </row>
    <row r="113">
      <c r="D113" s="33"/>
    </row>
    <row r="114">
      <c r="D114" s="33"/>
    </row>
    <row r="115">
      <c r="D115" s="33"/>
    </row>
    <row r="116">
      <c r="D116" s="33"/>
    </row>
    <row r="117">
      <c r="D117" s="33"/>
    </row>
    <row r="118">
      <c r="D118" s="33"/>
    </row>
    <row r="119">
      <c r="D119" s="33"/>
    </row>
    <row r="120">
      <c r="D120" s="33"/>
    </row>
    <row r="121">
      <c r="D121" s="33"/>
    </row>
    <row r="122">
      <c r="D122" s="33"/>
    </row>
    <row r="123">
      <c r="D123" s="33"/>
    </row>
    <row r="124">
      <c r="D124" s="33"/>
    </row>
    <row r="125">
      <c r="D125" s="33"/>
    </row>
    <row r="126">
      <c r="D126" s="33"/>
    </row>
    <row r="127">
      <c r="D127" s="33"/>
    </row>
    <row r="128">
      <c r="D128" s="33"/>
    </row>
    <row r="129">
      <c r="D129" s="33"/>
    </row>
    <row r="130">
      <c r="D130" s="33"/>
    </row>
    <row r="131">
      <c r="D131" s="33"/>
    </row>
    <row r="132">
      <c r="D132" s="33"/>
    </row>
    <row r="133">
      <c r="D133" s="33"/>
    </row>
    <row r="134">
      <c r="D134" s="33"/>
    </row>
    <row r="135">
      <c r="D135" s="33"/>
    </row>
    <row r="136">
      <c r="D136" s="33"/>
    </row>
    <row r="137">
      <c r="D137" s="33"/>
    </row>
    <row r="138">
      <c r="D138" s="33"/>
    </row>
    <row r="139">
      <c r="D139" s="33"/>
    </row>
    <row r="140">
      <c r="D140" s="33"/>
    </row>
    <row r="141">
      <c r="D141" s="33"/>
    </row>
    <row r="142">
      <c r="D142" s="33"/>
    </row>
    <row r="143">
      <c r="D143" s="33"/>
    </row>
    <row r="144">
      <c r="D144" s="33"/>
    </row>
    <row r="145">
      <c r="D145" s="33"/>
    </row>
    <row r="146">
      <c r="D146" s="33"/>
    </row>
    <row r="147">
      <c r="D147" s="33"/>
    </row>
    <row r="148">
      <c r="D148" s="33"/>
    </row>
    <row r="149">
      <c r="D149" s="33"/>
    </row>
    <row r="150">
      <c r="D150" s="33"/>
    </row>
    <row r="151">
      <c r="D151" s="33"/>
    </row>
    <row r="152">
      <c r="D152" s="33"/>
    </row>
    <row r="153">
      <c r="D153" s="33"/>
    </row>
    <row r="154">
      <c r="D154" s="33"/>
    </row>
    <row r="155">
      <c r="D155" s="33"/>
    </row>
    <row r="156">
      <c r="D156" s="33"/>
    </row>
    <row r="157">
      <c r="D157" s="33"/>
    </row>
    <row r="158">
      <c r="D158" s="33"/>
    </row>
    <row r="159">
      <c r="D159" s="33"/>
    </row>
    <row r="160">
      <c r="D160" s="33"/>
    </row>
    <row r="161">
      <c r="D161" s="33"/>
    </row>
    <row r="162">
      <c r="D162" s="33"/>
    </row>
    <row r="163">
      <c r="D163" s="33"/>
    </row>
    <row r="164">
      <c r="D164" s="33"/>
    </row>
    <row r="165">
      <c r="D165" s="33"/>
    </row>
    <row r="166">
      <c r="D166" s="33"/>
    </row>
    <row r="167">
      <c r="D167" s="33"/>
    </row>
    <row r="168">
      <c r="D168" s="33"/>
    </row>
    <row r="169">
      <c r="D169" s="33"/>
    </row>
    <row r="170">
      <c r="D170" s="33"/>
    </row>
    <row r="171">
      <c r="D171" s="33"/>
    </row>
    <row r="172">
      <c r="D172" s="33"/>
    </row>
    <row r="173">
      <c r="D173" s="33"/>
    </row>
    <row r="174">
      <c r="D174" s="33"/>
    </row>
    <row r="175">
      <c r="D175" s="33"/>
    </row>
    <row r="176">
      <c r="D176" s="33"/>
    </row>
    <row r="177">
      <c r="D177" s="33"/>
    </row>
    <row r="178">
      <c r="D178" s="33"/>
    </row>
    <row r="179">
      <c r="D179" s="33"/>
    </row>
    <row r="180">
      <c r="D180" s="33"/>
    </row>
    <row r="181">
      <c r="D181" s="33"/>
    </row>
    <row r="182">
      <c r="D182" s="33"/>
    </row>
    <row r="183">
      <c r="D183" s="33"/>
    </row>
    <row r="184">
      <c r="D184" s="33"/>
    </row>
    <row r="185">
      <c r="D185" s="33"/>
    </row>
    <row r="186">
      <c r="D186" s="33"/>
    </row>
    <row r="187">
      <c r="D187" s="33"/>
    </row>
    <row r="188">
      <c r="D188" s="33"/>
    </row>
    <row r="189">
      <c r="D189" s="33"/>
    </row>
    <row r="190">
      <c r="D190" s="33"/>
    </row>
    <row r="191">
      <c r="D191" s="33"/>
    </row>
    <row r="192">
      <c r="D192" s="33"/>
    </row>
    <row r="193">
      <c r="D193" s="33"/>
    </row>
    <row r="194">
      <c r="D194" s="33"/>
    </row>
    <row r="195">
      <c r="D195" s="33"/>
    </row>
    <row r="196">
      <c r="D196" s="33"/>
    </row>
    <row r="197">
      <c r="D197" s="33"/>
    </row>
    <row r="198">
      <c r="D198" s="33"/>
    </row>
    <row r="199">
      <c r="D199" s="33"/>
    </row>
    <row r="200">
      <c r="D200" s="33"/>
    </row>
    <row r="201">
      <c r="D201" s="33"/>
    </row>
    <row r="202">
      <c r="D202" s="33"/>
    </row>
    <row r="203">
      <c r="D203" s="33"/>
    </row>
    <row r="204">
      <c r="D204" s="33"/>
    </row>
    <row r="205">
      <c r="D205" s="33"/>
    </row>
    <row r="206">
      <c r="D206" s="33"/>
    </row>
    <row r="207">
      <c r="D207" s="33"/>
    </row>
    <row r="208">
      <c r="D208" s="33"/>
    </row>
    <row r="209">
      <c r="D209" s="33"/>
    </row>
    <row r="210">
      <c r="D210" s="33"/>
    </row>
    <row r="211">
      <c r="D211" s="33"/>
    </row>
    <row r="212">
      <c r="D212" s="33"/>
    </row>
    <row r="213">
      <c r="D213" s="33"/>
    </row>
    <row r="214">
      <c r="D214" s="33"/>
    </row>
    <row r="215">
      <c r="D215" s="33"/>
    </row>
    <row r="216">
      <c r="D216" s="33"/>
    </row>
    <row r="217">
      <c r="D217" s="33"/>
    </row>
    <row r="218">
      <c r="D218" s="33"/>
    </row>
    <row r="219">
      <c r="D219" s="33"/>
    </row>
    <row r="220">
      <c r="D220" s="33"/>
    </row>
    <row r="221">
      <c r="D221" s="33"/>
    </row>
    <row r="222">
      <c r="D222" s="33"/>
    </row>
    <row r="223">
      <c r="D223" s="33"/>
    </row>
    <row r="224">
      <c r="D224" s="33"/>
    </row>
    <row r="225">
      <c r="D225" s="33"/>
    </row>
    <row r="226">
      <c r="D226" s="33"/>
    </row>
    <row r="227">
      <c r="D227" s="33"/>
    </row>
    <row r="228">
      <c r="D228" s="33"/>
    </row>
    <row r="229">
      <c r="D229" s="33"/>
    </row>
    <row r="230">
      <c r="D230" s="33"/>
    </row>
    <row r="231">
      <c r="D231" s="33"/>
    </row>
    <row r="232">
      <c r="D232" s="33"/>
    </row>
    <row r="233">
      <c r="D233" s="33"/>
    </row>
    <row r="234">
      <c r="D234" s="33"/>
    </row>
    <row r="235">
      <c r="D235" s="33"/>
    </row>
    <row r="236">
      <c r="D236" s="33"/>
    </row>
    <row r="237">
      <c r="D237" s="33"/>
    </row>
    <row r="238">
      <c r="D238" s="33"/>
    </row>
    <row r="239">
      <c r="D239" s="33"/>
    </row>
    <row r="240">
      <c r="D240" s="33"/>
    </row>
    <row r="241">
      <c r="D241" s="33"/>
    </row>
    <row r="242">
      <c r="D242" s="33"/>
    </row>
    <row r="243">
      <c r="D243" s="33"/>
    </row>
    <row r="244">
      <c r="D244" s="33"/>
    </row>
    <row r="245">
      <c r="D245" s="33"/>
    </row>
    <row r="246">
      <c r="D246" s="33"/>
    </row>
    <row r="247">
      <c r="D247" s="33"/>
    </row>
    <row r="248">
      <c r="D248" s="33"/>
    </row>
    <row r="249">
      <c r="D249" s="33"/>
    </row>
    <row r="250">
      <c r="D250" s="33"/>
    </row>
    <row r="251">
      <c r="D251" s="33"/>
    </row>
    <row r="252">
      <c r="D252" s="33"/>
    </row>
    <row r="253">
      <c r="D253" s="33"/>
    </row>
    <row r="254">
      <c r="D254" s="33"/>
    </row>
    <row r="255">
      <c r="D255" s="33"/>
    </row>
    <row r="256">
      <c r="D256" s="33"/>
    </row>
    <row r="257">
      <c r="D257" s="33"/>
    </row>
    <row r="258">
      <c r="D258" s="33"/>
    </row>
    <row r="259">
      <c r="D259" s="33"/>
    </row>
    <row r="260">
      <c r="D260" s="33"/>
    </row>
    <row r="261">
      <c r="D261" s="33"/>
    </row>
    <row r="262">
      <c r="D262" s="33"/>
    </row>
    <row r="263">
      <c r="D263" s="33"/>
    </row>
    <row r="264">
      <c r="D264" s="33"/>
    </row>
    <row r="265">
      <c r="D265" s="33"/>
    </row>
    <row r="266">
      <c r="D266" s="33"/>
    </row>
    <row r="267">
      <c r="D267" s="33"/>
    </row>
    <row r="268">
      <c r="D268" s="33"/>
    </row>
    <row r="269">
      <c r="D269" s="33"/>
    </row>
    <row r="270">
      <c r="D270" s="33"/>
    </row>
    <row r="271">
      <c r="D271" s="33"/>
    </row>
    <row r="272">
      <c r="D272" s="33"/>
    </row>
    <row r="273">
      <c r="D273" s="33"/>
    </row>
    <row r="274">
      <c r="D274" s="33"/>
    </row>
    <row r="275">
      <c r="D275" s="33"/>
    </row>
    <row r="276">
      <c r="D276" s="33"/>
    </row>
    <row r="277">
      <c r="D277" s="33"/>
    </row>
    <row r="278">
      <c r="D278" s="33"/>
    </row>
    <row r="279">
      <c r="D279" s="33"/>
    </row>
    <row r="280">
      <c r="D280" s="33"/>
    </row>
    <row r="281">
      <c r="D281" s="33"/>
    </row>
    <row r="282">
      <c r="D282" s="33"/>
    </row>
    <row r="283">
      <c r="D283" s="33"/>
    </row>
    <row r="284">
      <c r="D284" s="33"/>
    </row>
    <row r="285">
      <c r="D285" s="33"/>
    </row>
    <row r="286">
      <c r="D286" s="33"/>
    </row>
    <row r="287">
      <c r="D287" s="33"/>
    </row>
    <row r="288">
      <c r="D288" s="33"/>
    </row>
    <row r="289">
      <c r="D289" s="33"/>
    </row>
    <row r="290">
      <c r="D290" s="33"/>
    </row>
    <row r="291">
      <c r="D291" s="33"/>
    </row>
    <row r="292">
      <c r="D292" s="33"/>
    </row>
    <row r="293">
      <c r="D293" s="33"/>
    </row>
    <row r="294">
      <c r="D294" s="33"/>
    </row>
    <row r="295">
      <c r="D295" s="33"/>
    </row>
    <row r="296">
      <c r="D296" s="33"/>
    </row>
    <row r="297">
      <c r="D297" s="33"/>
    </row>
    <row r="298">
      <c r="D298" s="33"/>
    </row>
    <row r="299">
      <c r="D299" s="33"/>
    </row>
    <row r="300">
      <c r="D300" s="33"/>
    </row>
    <row r="301">
      <c r="D301" s="33"/>
    </row>
    <row r="302">
      <c r="D302" s="33"/>
    </row>
    <row r="303">
      <c r="D303" s="33"/>
    </row>
    <row r="304">
      <c r="D304" s="33"/>
    </row>
    <row r="305">
      <c r="D305" s="33"/>
    </row>
    <row r="306">
      <c r="D306" s="33"/>
    </row>
    <row r="307">
      <c r="D307" s="33"/>
    </row>
    <row r="308">
      <c r="D308" s="33"/>
    </row>
    <row r="309">
      <c r="D309" s="33"/>
    </row>
    <row r="310">
      <c r="D310" s="33"/>
    </row>
    <row r="311">
      <c r="D311" s="33"/>
    </row>
    <row r="312">
      <c r="D312" s="33"/>
    </row>
    <row r="313">
      <c r="D313" s="33"/>
    </row>
    <row r="314">
      <c r="D314" s="33"/>
    </row>
    <row r="315">
      <c r="D315" s="33"/>
    </row>
    <row r="316">
      <c r="D316" s="33"/>
    </row>
    <row r="317">
      <c r="D317" s="33"/>
    </row>
    <row r="318">
      <c r="D318" s="33"/>
    </row>
    <row r="319">
      <c r="D319" s="33"/>
    </row>
    <row r="320">
      <c r="D320" s="33"/>
    </row>
    <row r="321">
      <c r="D321" s="33"/>
    </row>
    <row r="322">
      <c r="D322" s="33"/>
    </row>
    <row r="323">
      <c r="D323" s="33"/>
    </row>
    <row r="324">
      <c r="D324" s="33"/>
    </row>
    <row r="325">
      <c r="D325" s="33"/>
    </row>
    <row r="326">
      <c r="D326" s="33"/>
    </row>
    <row r="327">
      <c r="D327" s="33"/>
    </row>
    <row r="328">
      <c r="D328" s="33"/>
    </row>
    <row r="329">
      <c r="D329" s="33"/>
    </row>
    <row r="330">
      <c r="D330" s="33"/>
    </row>
    <row r="331">
      <c r="D331" s="33"/>
    </row>
    <row r="332">
      <c r="D332" s="33"/>
    </row>
    <row r="333">
      <c r="D333" s="33"/>
    </row>
    <row r="334">
      <c r="D334" s="33"/>
    </row>
    <row r="335">
      <c r="D335" s="33"/>
    </row>
    <row r="336">
      <c r="D336" s="33"/>
    </row>
    <row r="337">
      <c r="D337" s="33"/>
    </row>
    <row r="338">
      <c r="D338" s="33"/>
    </row>
    <row r="339">
      <c r="D339" s="33"/>
    </row>
    <row r="340">
      <c r="D340" s="33"/>
    </row>
    <row r="341">
      <c r="D341" s="33"/>
    </row>
    <row r="342">
      <c r="D342" s="33"/>
    </row>
    <row r="343">
      <c r="D343" s="33"/>
    </row>
    <row r="344">
      <c r="D344" s="33"/>
    </row>
    <row r="345">
      <c r="D345" s="33"/>
    </row>
    <row r="346">
      <c r="D346" s="33"/>
    </row>
    <row r="347">
      <c r="D347" s="33"/>
    </row>
    <row r="348">
      <c r="D348" s="33"/>
    </row>
    <row r="349">
      <c r="D349" s="33"/>
    </row>
    <row r="350">
      <c r="D350" s="33"/>
    </row>
    <row r="351">
      <c r="D351" s="33"/>
    </row>
    <row r="352">
      <c r="D352" s="33"/>
    </row>
    <row r="353">
      <c r="D353" s="33"/>
    </row>
    <row r="354">
      <c r="D354" s="33"/>
    </row>
    <row r="355">
      <c r="D355" s="33"/>
    </row>
    <row r="356">
      <c r="D356" s="33"/>
    </row>
    <row r="357">
      <c r="D357" s="33"/>
    </row>
    <row r="358">
      <c r="D358" s="33"/>
    </row>
    <row r="359">
      <c r="D359" s="33"/>
    </row>
    <row r="360">
      <c r="D360" s="33"/>
    </row>
    <row r="361">
      <c r="D361" s="33"/>
    </row>
    <row r="362">
      <c r="D362" s="33"/>
    </row>
    <row r="363">
      <c r="D363" s="33"/>
    </row>
    <row r="364">
      <c r="D364" s="33"/>
    </row>
    <row r="365">
      <c r="D365" s="33"/>
    </row>
    <row r="366">
      <c r="D366" s="33"/>
    </row>
    <row r="367">
      <c r="D367" s="33"/>
    </row>
    <row r="368">
      <c r="D368" s="33"/>
    </row>
    <row r="369">
      <c r="D369" s="33"/>
    </row>
    <row r="370">
      <c r="D370" s="33"/>
    </row>
    <row r="371">
      <c r="D371" s="33"/>
    </row>
    <row r="372">
      <c r="D372" s="33"/>
    </row>
    <row r="373">
      <c r="D373" s="33"/>
    </row>
    <row r="374">
      <c r="D374" s="33"/>
    </row>
    <row r="375">
      <c r="D375" s="33"/>
    </row>
    <row r="376">
      <c r="D376" s="33"/>
    </row>
    <row r="377">
      <c r="D377" s="33"/>
    </row>
    <row r="378">
      <c r="D378" s="33"/>
    </row>
    <row r="379">
      <c r="D379" s="33"/>
    </row>
    <row r="380">
      <c r="D380" s="33"/>
    </row>
    <row r="381">
      <c r="D381" s="33"/>
    </row>
    <row r="382">
      <c r="D382" s="33"/>
    </row>
    <row r="383">
      <c r="D383" s="33"/>
    </row>
    <row r="384">
      <c r="D384" s="33"/>
    </row>
    <row r="385">
      <c r="D385" s="33"/>
    </row>
    <row r="386">
      <c r="D386" s="33"/>
    </row>
    <row r="387">
      <c r="D387" s="33"/>
    </row>
    <row r="388">
      <c r="D388" s="33"/>
    </row>
    <row r="389">
      <c r="D389" s="33"/>
    </row>
    <row r="390">
      <c r="D390" s="33"/>
    </row>
    <row r="391">
      <c r="D391" s="33"/>
    </row>
    <row r="392">
      <c r="D392" s="33"/>
    </row>
    <row r="393">
      <c r="D393" s="33"/>
    </row>
    <row r="394">
      <c r="D394" s="33"/>
    </row>
    <row r="395">
      <c r="D395" s="33"/>
    </row>
    <row r="396">
      <c r="D396" s="33"/>
    </row>
    <row r="397">
      <c r="D397" s="33"/>
    </row>
    <row r="398">
      <c r="D398" s="33"/>
    </row>
    <row r="399">
      <c r="D399" s="33"/>
    </row>
    <row r="400">
      <c r="D400" s="33"/>
    </row>
    <row r="401">
      <c r="D401" s="33"/>
    </row>
    <row r="402">
      <c r="D402" s="33"/>
    </row>
    <row r="403">
      <c r="D403" s="33"/>
    </row>
    <row r="404">
      <c r="D404" s="33"/>
    </row>
    <row r="405">
      <c r="D405" s="33"/>
    </row>
    <row r="406">
      <c r="D406" s="33"/>
    </row>
    <row r="407">
      <c r="D407" s="33"/>
    </row>
    <row r="408">
      <c r="D408" s="33"/>
    </row>
    <row r="409">
      <c r="D409" s="33"/>
    </row>
    <row r="410">
      <c r="D410" s="33"/>
    </row>
    <row r="411">
      <c r="D411" s="33"/>
    </row>
    <row r="412">
      <c r="D412" s="33"/>
    </row>
    <row r="413">
      <c r="D413" s="33"/>
    </row>
    <row r="414">
      <c r="D414" s="33"/>
    </row>
    <row r="415">
      <c r="D415" s="33"/>
    </row>
    <row r="416">
      <c r="D416" s="33"/>
    </row>
    <row r="417">
      <c r="D417" s="33"/>
    </row>
    <row r="418">
      <c r="D418" s="33"/>
    </row>
    <row r="419">
      <c r="D419" s="33"/>
    </row>
    <row r="420">
      <c r="D420" s="33"/>
    </row>
    <row r="421">
      <c r="D421" s="33"/>
    </row>
    <row r="422">
      <c r="D422" s="33"/>
    </row>
    <row r="423">
      <c r="D423" s="33"/>
    </row>
    <row r="424">
      <c r="D424" s="33"/>
    </row>
    <row r="425">
      <c r="D425" s="33"/>
    </row>
    <row r="426">
      <c r="D426" s="33"/>
    </row>
    <row r="427">
      <c r="D427" s="33"/>
    </row>
    <row r="428">
      <c r="D428" s="33"/>
    </row>
    <row r="429">
      <c r="D429" s="33"/>
    </row>
    <row r="430">
      <c r="D430" s="33"/>
    </row>
    <row r="431">
      <c r="D431" s="33"/>
    </row>
    <row r="432">
      <c r="D432" s="33"/>
    </row>
    <row r="433">
      <c r="D433" s="33"/>
    </row>
    <row r="434">
      <c r="D434" s="33"/>
    </row>
    <row r="435">
      <c r="D435" s="33"/>
    </row>
    <row r="436">
      <c r="D436" s="33"/>
    </row>
    <row r="437">
      <c r="D437" s="33"/>
    </row>
    <row r="438">
      <c r="D438" s="33"/>
    </row>
    <row r="439">
      <c r="D439" s="33"/>
    </row>
    <row r="440">
      <c r="D440" s="33"/>
    </row>
    <row r="441">
      <c r="D441" s="33"/>
    </row>
    <row r="442">
      <c r="D442" s="33"/>
    </row>
    <row r="443">
      <c r="D443" s="33"/>
    </row>
    <row r="444">
      <c r="D444" s="33"/>
    </row>
    <row r="445">
      <c r="D445" s="33"/>
    </row>
    <row r="446">
      <c r="D446" s="33"/>
    </row>
    <row r="447">
      <c r="D447" s="33"/>
    </row>
    <row r="448">
      <c r="D448" s="33"/>
    </row>
    <row r="449">
      <c r="D449" s="33"/>
    </row>
    <row r="450">
      <c r="D450" s="33"/>
    </row>
    <row r="451">
      <c r="D451" s="33"/>
    </row>
    <row r="452">
      <c r="D452" s="33"/>
    </row>
    <row r="453">
      <c r="D453" s="33"/>
    </row>
    <row r="454">
      <c r="D454" s="33"/>
    </row>
    <row r="455">
      <c r="D455" s="33"/>
    </row>
    <row r="456">
      <c r="D456" s="33"/>
    </row>
    <row r="457">
      <c r="D457" s="33"/>
    </row>
    <row r="458">
      <c r="D458" s="33"/>
    </row>
    <row r="459">
      <c r="D459" s="33"/>
    </row>
    <row r="460">
      <c r="D460" s="33"/>
    </row>
    <row r="461">
      <c r="D461" s="33"/>
    </row>
    <row r="462">
      <c r="D462" s="33"/>
    </row>
    <row r="463">
      <c r="D463" s="33"/>
    </row>
    <row r="464">
      <c r="D464" s="33"/>
    </row>
    <row r="465">
      <c r="D465" s="33"/>
    </row>
    <row r="466">
      <c r="D466" s="33"/>
    </row>
    <row r="467">
      <c r="D467" s="33"/>
    </row>
    <row r="468">
      <c r="D468" s="33"/>
    </row>
    <row r="469">
      <c r="D469" s="33"/>
    </row>
    <row r="470">
      <c r="D470" s="33"/>
    </row>
    <row r="471">
      <c r="D471" s="33"/>
    </row>
    <row r="472">
      <c r="D472" s="33"/>
    </row>
    <row r="473">
      <c r="D473" s="33"/>
    </row>
    <row r="474">
      <c r="D474" s="33"/>
    </row>
    <row r="475">
      <c r="D475" s="33"/>
    </row>
    <row r="476">
      <c r="D476" s="33"/>
    </row>
    <row r="477">
      <c r="D477" s="33"/>
    </row>
    <row r="478">
      <c r="D478" s="33"/>
    </row>
    <row r="479">
      <c r="D479" s="33"/>
    </row>
    <row r="480">
      <c r="D480" s="33"/>
    </row>
    <row r="481">
      <c r="D481" s="33"/>
    </row>
    <row r="482">
      <c r="D482" s="33"/>
    </row>
    <row r="483">
      <c r="D483" s="33"/>
    </row>
    <row r="484">
      <c r="D484" s="33"/>
    </row>
    <row r="485">
      <c r="D485" s="33"/>
    </row>
    <row r="486">
      <c r="D486" s="33"/>
    </row>
    <row r="487">
      <c r="D487" s="33"/>
    </row>
    <row r="488">
      <c r="D488" s="33"/>
    </row>
    <row r="489">
      <c r="D489" s="33"/>
    </row>
    <row r="490">
      <c r="D490" s="33"/>
    </row>
    <row r="491">
      <c r="D491" s="33"/>
    </row>
    <row r="492">
      <c r="D492" s="33"/>
    </row>
    <row r="493">
      <c r="D493" s="33"/>
    </row>
    <row r="494">
      <c r="D494" s="33"/>
    </row>
    <row r="495">
      <c r="D495" s="33"/>
    </row>
    <row r="496">
      <c r="D496" s="33"/>
    </row>
    <row r="497">
      <c r="D497" s="33"/>
    </row>
    <row r="498">
      <c r="D498" s="33"/>
    </row>
    <row r="499">
      <c r="D499" s="33"/>
    </row>
    <row r="500">
      <c r="D500" s="33"/>
    </row>
    <row r="501">
      <c r="D501" s="33"/>
    </row>
    <row r="502">
      <c r="D502" s="33"/>
    </row>
    <row r="503">
      <c r="D503" s="33"/>
    </row>
    <row r="504">
      <c r="D504" s="33"/>
    </row>
    <row r="505">
      <c r="D505" s="33"/>
    </row>
    <row r="506">
      <c r="D506" s="33"/>
    </row>
    <row r="507">
      <c r="D507" s="33"/>
    </row>
    <row r="508">
      <c r="D508" s="33"/>
    </row>
    <row r="509">
      <c r="D509" s="33"/>
    </row>
    <row r="510">
      <c r="D510" s="33"/>
    </row>
    <row r="511">
      <c r="D511" s="33"/>
    </row>
    <row r="512">
      <c r="D512" s="33"/>
    </row>
    <row r="513">
      <c r="D513" s="33"/>
    </row>
    <row r="514">
      <c r="D514" s="33"/>
    </row>
    <row r="515">
      <c r="D515" s="33"/>
    </row>
    <row r="516">
      <c r="D516" s="33"/>
    </row>
    <row r="517">
      <c r="D517" s="33"/>
    </row>
    <row r="518">
      <c r="D518" s="33"/>
    </row>
    <row r="519">
      <c r="D519" s="33"/>
    </row>
    <row r="520">
      <c r="D520" s="33"/>
    </row>
    <row r="521">
      <c r="D521" s="33"/>
    </row>
    <row r="522">
      <c r="D522" s="33"/>
    </row>
    <row r="523">
      <c r="D523" s="33"/>
    </row>
    <row r="524">
      <c r="D524" s="33"/>
    </row>
    <row r="525">
      <c r="D525" s="33"/>
    </row>
    <row r="526">
      <c r="D526" s="33"/>
    </row>
    <row r="527">
      <c r="D527" s="33"/>
    </row>
    <row r="528">
      <c r="D528" s="33"/>
    </row>
    <row r="529">
      <c r="D529" s="33"/>
    </row>
    <row r="530">
      <c r="D530" s="33"/>
    </row>
    <row r="531">
      <c r="D531" s="33"/>
    </row>
    <row r="532">
      <c r="D532" s="33"/>
    </row>
    <row r="533">
      <c r="D533" s="33"/>
    </row>
    <row r="534">
      <c r="D534" s="33"/>
    </row>
    <row r="535">
      <c r="D535" s="33"/>
    </row>
    <row r="536">
      <c r="D536" s="33"/>
    </row>
    <row r="537">
      <c r="D537" s="33"/>
    </row>
    <row r="538">
      <c r="D538" s="33"/>
    </row>
    <row r="539">
      <c r="D539" s="33"/>
    </row>
    <row r="540">
      <c r="D540" s="33"/>
    </row>
    <row r="541">
      <c r="D541" s="33"/>
    </row>
    <row r="542">
      <c r="D542" s="33"/>
    </row>
    <row r="543">
      <c r="D543" s="33"/>
    </row>
    <row r="544">
      <c r="D544" s="33"/>
    </row>
    <row r="545">
      <c r="D545" s="33"/>
    </row>
    <row r="546">
      <c r="D546" s="33"/>
    </row>
    <row r="547">
      <c r="D547" s="33"/>
    </row>
    <row r="548">
      <c r="D548" s="33"/>
    </row>
    <row r="549">
      <c r="D549" s="33"/>
    </row>
    <row r="550">
      <c r="D550" s="33"/>
    </row>
    <row r="551">
      <c r="D551" s="33"/>
    </row>
    <row r="552">
      <c r="D552" s="33"/>
    </row>
    <row r="553">
      <c r="D553" s="33"/>
    </row>
    <row r="554">
      <c r="D554" s="33"/>
    </row>
    <row r="555">
      <c r="D555" s="33"/>
    </row>
    <row r="556">
      <c r="D556" s="33"/>
    </row>
    <row r="557">
      <c r="D557" s="33"/>
    </row>
    <row r="558">
      <c r="D558" s="33"/>
    </row>
    <row r="559">
      <c r="D559" s="33"/>
    </row>
    <row r="560">
      <c r="D560" s="33"/>
    </row>
    <row r="561">
      <c r="D561" s="33"/>
    </row>
    <row r="562">
      <c r="D562" s="33"/>
    </row>
    <row r="563">
      <c r="D563" s="33"/>
    </row>
    <row r="564">
      <c r="D564" s="33"/>
    </row>
    <row r="565">
      <c r="D565" s="33"/>
    </row>
    <row r="566">
      <c r="D566" s="33"/>
    </row>
    <row r="567">
      <c r="D567" s="33"/>
    </row>
    <row r="568">
      <c r="D568" s="33"/>
    </row>
    <row r="569">
      <c r="D569" s="33"/>
    </row>
    <row r="570">
      <c r="D570" s="33"/>
    </row>
    <row r="571">
      <c r="D571" s="33"/>
    </row>
    <row r="572">
      <c r="D572" s="33"/>
    </row>
    <row r="573">
      <c r="D573" s="33"/>
    </row>
    <row r="574">
      <c r="D574" s="33"/>
    </row>
    <row r="575">
      <c r="D575" s="33"/>
    </row>
    <row r="576">
      <c r="D576" s="33"/>
    </row>
    <row r="577">
      <c r="D577" s="33"/>
    </row>
    <row r="578">
      <c r="D578" s="33"/>
    </row>
    <row r="579">
      <c r="D579" s="33"/>
    </row>
    <row r="580">
      <c r="D580" s="33"/>
    </row>
    <row r="581">
      <c r="D581" s="33"/>
    </row>
    <row r="582">
      <c r="D582" s="33"/>
    </row>
    <row r="583">
      <c r="D583" s="33"/>
    </row>
    <row r="584">
      <c r="D584" s="33"/>
    </row>
    <row r="585">
      <c r="D585" s="33"/>
    </row>
    <row r="586">
      <c r="D586" s="33"/>
    </row>
    <row r="587">
      <c r="D587" s="33"/>
    </row>
    <row r="588">
      <c r="D588" s="33"/>
    </row>
    <row r="589">
      <c r="D589" s="33"/>
    </row>
    <row r="590">
      <c r="D590" s="33"/>
    </row>
    <row r="591">
      <c r="D591" s="33"/>
    </row>
    <row r="592">
      <c r="D592" s="33"/>
    </row>
    <row r="593">
      <c r="D593" s="33"/>
    </row>
    <row r="594">
      <c r="D594" s="33"/>
    </row>
    <row r="595">
      <c r="D595" s="33"/>
    </row>
    <row r="596">
      <c r="D596" s="33"/>
    </row>
    <row r="597">
      <c r="D597" s="33"/>
    </row>
    <row r="598">
      <c r="D598" s="33"/>
    </row>
    <row r="599">
      <c r="D599" s="33"/>
    </row>
    <row r="600">
      <c r="D600" s="33"/>
    </row>
    <row r="601">
      <c r="D601" s="33"/>
    </row>
    <row r="602">
      <c r="D602" s="33"/>
    </row>
    <row r="603">
      <c r="D603" s="33"/>
    </row>
    <row r="604">
      <c r="D604" s="33"/>
    </row>
    <row r="605">
      <c r="D605" s="33"/>
    </row>
    <row r="606">
      <c r="D606" s="33"/>
    </row>
    <row r="607">
      <c r="D607" s="33"/>
    </row>
    <row r="608">
      <c r="D608" s="33"/>
    </row>
    <row r="609">
      <c r="D609" s="33"/>
    </row>
    <row r="610">
      <c r="D610" s="33"/>
    </row>
    <row r="611">
      <c r="D611" s="33"/>
    </row>
    <row r="612">
      <c r="D612" s="33"/>
    </row>
    <row r="613">
      <c r="D613" s="33"/>
    </row>
    <row r="614">
      <c r="D614" s="33"/>
    </row>
    <row r="615">
      <c r="D615" s="33"/>
    </row>
    <row r="616">
      <c r="D616" s="33"/>
    </row>
    <row r="617">
      <c r="D617" s="33"/>
    </row>
    <row r="618">
      <c r="D618" s="33"/>
    </row>
    <row r="619">
      <c r="D619" s="33"/>
    </row>
    <row r="620">
      <c r="D620" s="33"/>
    </row>
    <row r="621">
      <c r="D621" s="33"/>
    </row>
    <row r="622">
      <c r="D622" s="33"/>
    </row>
    <row r="623">
      <c r="D623" s="33"/>
    </row>
    <row r="624">
      <c r="D624" s="33"/>
    </row>
    <row r="625">
      <c r="D625" s="33"/>
    </row>
    <row r="626">
      <c r="D626" s="33"/>
    </row>
    <row r="627">
      <c r="D627" s="33"/>
    </row>
    <row r="628">
      <c r="D628" s="33"/>
    </row>
    <row r="629">
      <c r="D629" s="33"/>
    </row>
    <row r="630">
      <c r="D630" s="33"/>
    </row>
    <row r="631">
      <c r="D631" s="33"/>
    </row>
    <row r="632">
      <c r="D632" s="33"/>
    </row>
    <row r="633">
      <c r="D633" s="33"/>
    </row>
    <row r="634">
      <c r="D634" s="33"/>
    </row>
    <row r="635">
      <c r="D635" s="33"/>
    </row>
    <row r="636">
      <c r="D636" s="33"/>
    </row>
    <row r="637">
      <c r="D637" s="33"/>
    </row>
    <row r="638">
      <c r="D638" s="33"/>
    </row>
    <row r="639">
      <c r="D639" s="33"/>
    </row>
    <row r="640">
      <c r="D640" s="33"/>
    </row>
    <row r="641">
      <c r="D641" s="33"/>
    </row>
    <row r="642">
      <c r="D642" s="33"/>
    </row>
    <row r="643">
      <c r="D643" s="33"/>
    </row>
    <row r="644">
      <c r="D644" s="33"/>
    </row>
    <row r="645">
      <c r="D645" s="33"/>
    </row>
    <row r="646">
      <c r="D646" s="33"/>
    </row>
    <row r="647">
      <c r="D647" s="33"/>
    </row>
    <row r="648">
      <c r="D648" s="33"/>
    </row>
    <row r="649">
      <c r="D649" s="33"/>
    </row>
    <row r="650">
      <c r="D650" s="33"/>
    </row>
    <row r="651">
      <c r="D651" s="33"/>
    </row>
    <row r="652">
      <c r="D652" s="33"/>
    </row>
    <row r="653">
      <c r="D653" s="33"/>
    </row>
    <row r="654">
      <c r="D654" s="33"/>
    </row>
    <row r="655">
      <c r="D655" s="33"/>
    </row>
    <row r="656">
      <c r="D656" s="33"/>
    </row>
    <row r="657">
      <c r="D657" s="33"/>
    </row>
    <row r="658">
      <c r="D658" s="33"/>
    </row>
    <row r="659">
      <c r="D659" s="33"/>
    </row>
    <row r="660">
      <c r="D660" s="33"/>
    </row>
    <row r="661">
      <c r="D661" s="33"/>
    </row>
    <row r="662">
      <c r="D662" s="33"/>
    </row>
    <row r="663">
      <c r="D663" s="33"/>
    </row>
    <row r="664">
      <c r="D664" s="33"/>
    </row>
    <row r="665">
      <c r="D665" s="33"/>
    </row>
    <row r="666">
      <c r="D666" s="33"/>
    </row>
    <row r="667">
      <c r="D667" s="33"/>
    </row>
    <row r="668">
      <c r="D668" s="33"/>
    </row>
    <row r="669">
      <c r="D669" s="33"/>
    </row>
    <row r="670">
      <c r="D670" s="33"/>
    </row>
    <row r="671">
      <c r="D671" s="33"/>
    </row>
    <row r="672">
      <c r="D672" s="33"/>
    </row>
    <row r="673">
      <c r="D673" s="33"/>
    </row>
    <row r="674">
      <c r="D674" s="33"/>
    </row>
    <row r="675">
      <c r="D675" s="33"/>
    </row>
    <row r="676">
      <c r="D676" s="33"/>
    </row>
    <row r="677">
      <c r="D677" s="33"/>
    </row>
    <row r="678">
      <c r="D678" s="33"/>
    </row>
    <row r="679">
      <c r="D679" s="33"/>
    </row>
    <row r="680">
      <c r="D680" s="33"/>
    </row>
    <row r="681">
      <c r="D681" s="33"/>
    </row>
    <row r="682">
      <c r="D682" s="33"/>
    </row>
    <row r="683">
      <c r="D683" s="33"/>
    </row>
    <row r="684">
      <c r="D684" s="33"/>
    </row>
    <row r="685">
      <c r="D685" s="33"/>
    </row>
    <row r="686">
      <c r="D686" s="33"/>
    </row>
    <row r="687">
      <c r="D687" s="33"/>
    </row>
    <row r="688">
      <c r="D688" s="33"/>
    </row>
    <row r="689">
      <c r="D689" s="33"/>
    </row>
    <row r="690">
      <c r="D690" s="33"/>
    </row>
    <row r="691">
      <c r="D691" s="33"/>
    </row>
    <row r="692">
      <c r="D692" s="33"/>
    </row>
    <row r="693">
      <c r="D693" s="33"/>
    </row>
    <row r="694">
      <c r="D694" s="33"/>
    </row>
    <row r="695">
      <c r="D695" s="33"/>
    </row>
    <row r="696">
      <c r="D696" s="33"/>
    </row>
    <row r="697">
      <c r="D697" s="33"/>
    </row>
    <row r="698">
      <c r="D698" s="33"/>
    </row>
    <row r="699">
      <c r="D699" s="33"/>
    </row>
    <row r="700">
      <c r="D700" s="33"/>
    </row>
    <row r="701">
      <c r="D701" s="33"/>
    </row>
    <row r="702">
      <c r="D702" s="33"/>
    </row>
    <row r="703">
      <c r="D703" s="33"/>
    </row>
    <row r="704">
      <c r="D704" s="33"/>
    </row>
    <row r="705">
      <c r="D705" s="33"/>
    </row>
    <row r="706">
      <c r="D706" s="33"/>
    </row>
    <row r="707">
      <c r="D707" s="33"/>
    </row>
    <row r="708">
      <c r="D708" s="33"/>
    </row>
    <row r="709">
      <c r="D709" s="33"/>
    </row>
    <row r="710">
      <c r="D710" s="33"/>
    </row>
    <row r="711">
      <c r="D711" s="33"/>
    </row>
    <row r="712">
      <c r="D712" s="33"/>
    </row>
    <row r="713">
      <c r="D713" s="33"/>
    </row>
    <row r="714">
      <c r="D714" s="33"/>
    </row>
    <row r="715">
      <c r="D715" s="33"/>
    </row>
    <row r="716">
      <c r="D716" s="33"/>
    </row>
    <row r="717">
      <c r="D717" s="33"/>
    </row>
    <row r="718">
      <c r="D718" s="33"/>
    </row>
    <row r="719">
      <c r="D719" s="33"/>
    </row>
    <row r="720">
      <c r="D720" s="33"/>
    </row>
    <row r="721">
      <c r="D721" s="33"/>
    </row>
    <row r="722">
      <c r="D722" s="33"/>
    </row>
    <row r="723">
      <c r="D723" s="33"/>
    </row>
    <row r="724">
      <c r="D724" s="33"/>
    </row>
    <row r="725">
      <c r="D725" s="33"/>
    </row>
    <row r="726">
      <c r="D726" s="33"/>
    </row>
    <row r="727">
      <c r="D727" s="33"/>
    </row>
    <row r="728">
      <c r="D728" s="33"/>
    </row>
    <row r="729">
      <c r="D729" s="33"/>
    </row>
    <row r="730">
      <c r="D730" s="33"/>
    </row>
    <row r="731">
      <c r="D731" s="33"/>
    </row>
    <row r="732">
      <c r="D732" s="33"/>
    </row>
    <row r="733">
      <c r="D733" s="33"/>
    </row>
    <row r="734">
      <c r="D734" s="33"/>
    </row>
    <row r="735">
      <c r="D735" s="33"/>
    </row>
    <row r="736">
      <c r="D736" s="33"/>
    </row>
    <row r="737">
      <c r="D737" s="33"/>
    </row>
    <row r="738">
      <c r="D738" s="33"/>
    </row>
    <row r="739">
      <c r="D739" s="33"/>
    </row>
    <row r="740">
      <c r="D740" s="33"/>
    </row>
    <row r="741">
      <c r="D741" s="33"/>
    </row>
    <row r="742">
      <c r="D742" s="33"/>
    </row>
    <row r="743">
      <c r="D743" s="33"/>
    </row>
    <row r="744">
      <c r="D744" s="33"/>
    </row>
    <row r="745">
      <c r="D745" s="33"/>
    </row>
    <row r="746">
      <c r="D746" s="33"/>
    </row>
    <row r="747">
      <c r="D747" s="33"/>
    </row>
    <row r="748">
      <c r="D748" s="33"/>
    </row>
    <row r="749">
      <c r="D749" s="33"/>
    </row>
    <row r="750">
      <c r="D750" s="33"/>
    </row>
    <row r="751">
      <c r="D751" s="33"/>
    </row>
    <row r="752">
      <c r="D752" s="33"/>
    </row>
    <row r="753">
      <c r="D753" s="33"/>
    </row>
    <row r="754">
      <c r="D754" s="33"/>
    </row>
    <row r="755">
      <c r="D755" s="33"/>
    </row>
    <row r="756">
      <c r="D756" s="33"/>
    </row>
    <row r="757">
      <c r="D757" s="33"/>
    </row>
    <row r="758">
      <c r="D758" s="33"/>
    </row>
    <row r="759">
      <c r="D759" s="33"/>
    </row>
    <row r="760">
      <c r="D760" s="33"/>
    </row>
    <row r="761">
      <c r="D761" s="33"/>
    </row>
    <row r="762">
      <c r="D762" s="33"/>
    </row>
    <row r="763">
      <c r="D763" s="33"/>
    </row>
    <row r="764">
      <c r="D764" s="33"/>
    </row>
    <row r="765">
      <c r="D765" s="33"/>
    </row>
    <row r="766">
      <c r="D766" s="33"/>
    </row>
    <row r="767">
      <c r="D767" s="33"/>
    </row>
    <row r="768">
      <c r="D768" s="33"/>
    </row>
    <row r="769">
      <c r="D769" s="33"/>
    </row>
    <row r="770">
      <c r="D770" s="33"/>
    </row>
    <row r="771">
      <c r="D771" s="33"/>
    </row>
    <row r="772">
      <c r="D772" s="33"/>
    </row>
    <row r="773">
      <c r="D773" s="33"/>
    </row>
    <row r="774">
      <c r="D774" s="33"/>
    </row>
    <row r="775">
      <c r="D775" s="33"/>
    </row>
    <row r="776">
      <c r="D776" s="33"/>
    </row>
    <row r="777">
      <c r="D777" s="33"/>
    </row>
    <row r="778">
      <c r="D778" s="33"/>
    </row>
    <row r="779">
      <c r="D779" s="33"/>
    </row>
    <row r="780">
      <c r="D780" s="33"/>
    </row>
    <row r="781">
      <c r="D781" s="33"/>
    </row>
    <row r="782">
      <c r="D782" s="33"/>
    </row>
    <row r="783">
      <c r="D783" s="33"/>
    </row>
    <row r="784">
      <c r="D784" s="33"/>
    </row>
    <row r="785">
      <c r="D785" s="33"/>
    </row>
    <row r="786">
      <c r="D786" s="33"/>
    </row>
    <row r="787">
      <c r="D787" s="33"/>
    </row>
    <row r="788">
      <c r="D788" s="33"/>
    </row>
    <row r="789">
      <c r="D789" s="33"/>
    </row>
    <row r="790">
      <c r="D790" s="33"/>
    </row>
    <row r="791">
      <c r="D791" s="33"/>
    </row>
    <row r="792">
      <c r="D792" s="33"/>
    </row>
    <row r="793">
      <c r="D793" s="33"/>
    </row>
    <row r="794">
      <c r="D794" s="33"/>
    </row>
    <row r="795">
      <c r="D795" s="33"/>
    </row>
    <row r="796">
      <c r="D796" s="33"/>
    </row>
    <row r="797">
      <c r="D797" s="33"/>
    </row>
    <row r="798">
      <c r="D798" s="33"/>
    </row>
    <row r="799">
      <c r="D799" s="33"/>
    </row>
    <row r="800">
      <c r="D800" s="33"/>
    </row>
    <row r="801">
      <c r="D801" s="33"/>
    </row>
    <row r="802">
      <c r="D802" s="33"/>
    </row>
    <row r="803">
      <c r="D803" s="33"/>
    </row>
    <row r="804">
      <c r="D804" s="33"/>
    </row>
    <row r="805">
      <c r="D805" s="33"/>
    </row>
    <row r="806">
      <c r="D806" s="33"/>
    </row>
    <row r="807">
      <c r="D807" s="33"/>
    </row>
    <row r="808">
      <c r="D808" s="33"/>
    </row>
    <row r="809">
      <c r="D809" s="33"/>
    </row>
    <row r="810">
      <c r="D810" s="33"/>
    </row>
    <row r="811">
      <c r="D811" s="33"/>
    </row>
    <row r="812">
      <c r="D812" s="33"/>
    </row>
    <row r="813">
      <c r="D813" s="33"/>
    </row>
    <row r="814">
      <c r="D814" s="33"/>
    </row>
    <row r="815">
      <c r="D815" s="33"/>
    </row>
    <row r="816">
      <c r="D816" s="33"/>
    </row>
    <row r="817">
      <c r="D817" s="33"/>
    </row>
    <row r="818">
      <c r="D818" s="33"/>
    </row>
    <row r="819">
      <c r="D819" s="33"/>
    </row>
    <row r="820">
      <c r="D820" s="33"/>
    </row>
    <row r="821">
      <c r="D821" s="33"/>
    </row>
    <row r="822">
      <c r="D822" s="33"/>
    </row>
    <row r="823">
      <c r="D823" s="33"/>
    </row>
    <row r="824">
      <c r="D824" s="33"/>
    </row>
    <row r="825">
      <c r="D825" s="33"/>
    </row>
    <row r="826">
      <c r="D826" s="33"/>
    </row>
    <row r="827">
      <c r="D827" s="33"/>
    </row>
    <row r="828">
      <c r="D828" s="33"/>
    </row>
    <row r="829">
      <c r="D829" s="33"/>
    </row>
    <row r="830">
      <c r="D830" s="33"/>
    </row>
    <row r="831">
      <c r="D831" s="33"/>
    </row>
    <row r="832">
      <c r="D832" s="33"/>
    </row>
    <row r="833">
      <c r="D833" s="33"/>
    </row>
    <row r="834">
      <c r="D834" s="33"/>
    </row>
    <row r="835">
      <c r="D835" s="33"/>
    </row>
    <row r="836">
      <c r="D836" s="33"/>
    </row>
    <row r="837">
      <c r="D837" s="33"/>
    </row>
    <row r="838">
      <c r="D838" s="33"/>
    </row>
    <row r="839">
      <c r="D839" s="33"/>
    </row>
    <row r="840">
      <c r="D840" s="33"/>
    </row>
    <row r="841">
      <c r="D841" s="33"/>
    </row>
    <row r="842">
      <c r="D842" s="33"/>
    </row>
    <row r="843">
      <c r="D843" s="33"/>
    </row>
    <row r="844">
      <c r="D844" s="33"/>
    </row>
    <row r="845">
      <c r="D845" s="33"/>
    </row>
    <row r="846">
      <c r="D846" s="33"/>
    </row>
    <row r="847">
      <c r="D847" s="33"/>
    </row>
    <row r="848">
      <c r="D848" s="33"/>
    </row>
    <row r="849">
      <c r="D849" s="33"/>
    </row>
    <row r="850">
      <c r="D850" s="33"/>
    </row>
    <row r="851">
      <c r="D851" s="33"/>
    </row>
    <row r="852">
      <c r="D852" s="33"/>
    </row>
    <row r="853">
      <c r="D853" s="33"/>
    </row>
    <row r="854">
      <c r="D854" s="33"/>
    </row>
    <row r="855">
      <c r="D855" s="33"/>
    </row>
    <row r="856">
      <c r="D856" s="33"/>
    </row>
    <row r="857">
      <c r="D857" s="33"/>
    </row>
    <row r="858">
      <c r="D858" s="33"/>
    </row>
    <row r="859">
      <c r="D859" s="33"/>
    </row>
    <row r="860">
      <c r="D860" s="33"/>
    </row>
    <row r="861">
      <c r="D861" s="33"/>
    </row>
    <row r="862">
      <c r="D862" s="33"/>
    </row>
    <row r="863">
      <c r="D863" s="33"/>
    </row>
    <row r="864">
      <c r="D864" s="33"/>
    </row>
    <row r="865">
      <c r="D865" s="33"/>
    </row>
    <row r="866">
      <c r="D866" s="33"/>
    </row>
    <row r="867">
      <c r="D867" s="33"/>
    </row>
    <row r="868">
      <c r="D868" s="33"/>
    </row>
    <row r="869">
      <c r="D869" s="33"/>
    </row>
    <row r="870">
      <c r="D870" s="33"/>
    </row>
    <row r="871">
      <c r="D871" s="33"/>
    </row>
    <row r="872">
      <c r="D872" s="33"/>
    </row>
    <row r="873">
      <c r="D873" s="33"/>
    </row>
    <row r="874">
      <c r="D874" s="33"/>
    </row>
    <row r="875">
      <c r="D875" s="33"/>
    </row>
    <row r="876">
      <c r="D876" s="33"/>
    </row>
    <row r="877">
      <c r="D877" s="33"/>
    </row>
    <row r="878">
      <c r="D878" s="33"/>
    </row>
    <row r="879">
      <c r="D879" s="33"/>
    </row>
    <row r="880">
      <c r="D880" s="33"/>
    </row>
    <row r="881">
      <c r="D881" s="33"/>
    </row>
    <row r="882">
      <c r="D882" s="33"/>
    </row>
    <row r="883">
      <c r="D883" s="33"/>
    </row>
    <row r="884">
      <c r="D884" s="33"/>
    </row>
    <row r="885">
      <c r="D885" s="33"/>
    </row>
    <row r="886">
      <c r="D886" s="33"/>
    </row>
    <row r="887">
      <c r="D887" s="33"/>
    </row>
    <row r="888">
      <c r="D888" s="33"/>
    </row>
    <row r="889">
      <c r="D889" s="33"/>
    </row>
    <row r="890">
      <c r="D890" s="33"/>
    </row>
    <row r="891">
      <c r="D891" s="33"/>
    </row>
    <row r="892">
      <c r="D892" s="33"/>
    </row>
    <row r="893">
      <c r="D893" s="33"/>
    </row>
    <row r="894">
      <c r="D894" s="33"/>
    </row>
    <row r="895">
      <c r="D895" s="33"/>
    </row>
    <row r="896">
      <c r="D896" s="33"/>
    </row>
    <row r="897">
      <c r="D897" s="33"/>
    </row>
    <row r="898">
      <c r="D898" s="33"/>
    </row>
    <row r="899">
      <c r="D899" s="33"/>
    </row>
    <row r="900">
      <c r="D900" s="33"/>
    </row>
    <row r="901">
      <c r="D901" s="33"/>
    </row>
    <row r="902">
      <c r="D902" s="33"/>
    </row>
    <row r="903">
      <c r="D903" s="33"/>
    </row>
    <row r="904">
      <c r="D904" s="33"/>
    </row>
    <row r="905">
      <c r="D905" s="33"/>
    </row>
    <row r="906">
      <c r="D906" s="33"/>
    </row>
    <row r="907">
      <c r="D907" s="33"/>
    </row>
    <row r="908">
      <c r="D908" s="33"/>
    </row>
    <row r="909">
      <c r="D909" s="33"/>
    </row>
    <row r="910">
      <c r="D910" s="33"/>
    </row>
    <row r="911">
      <c r="D911" s="33"/>
    </row>
    <row r="912">
      <c r="D912" s="33"/>
    </row>
    <row r="913">
      <c r="D913" s="33"/>
    </row>
    <row r="914">
      <c r="D914" s="33"/>
    </row>
    <row r="915">
      <c r="D915" s="33"/>
    </row>
    <row r="916">
      <c r="D916" s="33"/>
    </row>
    <row r="917">
      <c r="D917" s="33"/>
    </row>
    <row r="918">
      <c r="D918" s="33"/>
    </row>
    <row r="919">
      <c r="D919" s="33"/>
    </row>
    <row r="920">
      <c r="D920" s="33"/>
    </row>
    <row r="921">
      <c r="D921" s="33"/>
    </row>
    <row r="922">
      <c r="D922" s="33"/>
    </row>
    <row r="923">
      <c r="D923" s="33"/>
    </row>
    <row r="924">
      <c r="D924" s="33"/>
    </row>
    <row r="925">
      <c r="D925" s="33"/>
    </row>
    <row r="926">
      <c r="D926" s="33"/>
    </row>
    <row r="927">
      <c r="D927" s="33"/>
    </row>
    <row r="928">
      <c r="D928" s="33"/>
    </row>
    <row r="929">
      <c r="D929" s="33"/>
    </row>
    <row r="930">
      <c r="D930" s="33"/>
    </row>
    <row r="931">
      <c r="D931" s="33"/>
    </row>
    <row r="932">
      <c r="D932" s="33"/>
    </row>
    <row r="933">
      <c r="D933" s="33"/>
    </row>
    <row r="934">
      <c r="D934" s="33"/>
    </row>
    <row r="935">
      <c r="D935" s="33"/>
    </row>
    <row r="936">
      <c r="D936" s="33"/>
    </row>
    <row r="937">
      <c r="D937" s="33"/>
    </row>
    <row r="938">
      <c r="D938" s="33"/>
    </row>
    <row r="939">
      <c r="D939" s="33"/>
    </row>
    <row r="940">
      <c r="D940" s="33"/>
    </row>
    <row r="941">
      <c r="D941" s="33"/>
    </row>
    <row r="942">
      <c r="D942" s="33"/>
    </row>
    <row r="943">
      <c r="D943" s="33"/>
    </row>
    <row r="944">
      <c r="D944" s="33"/>
    </row>
    <row r="945">
      <c r="D945" s="33"/>
    </row>
    <row r="946">
      <c r="D946" s="33"/>
    </row>
    <row r="947">
      <c r="D947" s="33"/>
    </row>
    <row r="948">
      <c r="D948" s="33"/>
    </row>
    <row r="949">
      <c r="D949" s="33"/>
    </row>
    <row r="950">
      <c r="D950" s="33"/>
    </row>
    <row r="951">
      <c r="D951" s="33"/>
    </row>
    <row r="952">
      <c r="D952" s="33"/>
    </row>
    <row r="953">
      <c r="D953" s="33"/>
    </row>
    <row r="954">
      <c r="D954" s="33"/>
    </row>
    <row r="955">
      <c r="D955" s="33"/>
    </row>
    <row r="956">
      <c r="D956" s="33"/>
    </row>
    <row r="957">
      <c r="D957" s="33"/>
    </row>
    <row r="958">
      <c r="D958" s="33"/>
    </row>
    <row r="959">
      <c r="D959" s="33"/>
    </row>
    <row r="960">
      <c r="D960" s="33"/>
    </row>
    <row r="961">
      <c r="D961" s="33"/>
    </row>
    <row r="962">
      <c r="D962" s="33"/>
    </row>
    <row r="963">
      <c r="D963" s="33"/>
    </row>
    <row r="964">
      <c r="D964" s="33"/>
    </row>
    <row r="965">
      <c r="D965" s="33"/>
    </row>
    <row r="966">
      <c r="D966" s="33"/>
    </row>
    <row r="967">
      <c r="D967" s="33"/>
    </row>
    <row r="968">
      <c r="D968" s="33"/>
    </row>
    <row r="969">
      <c r="D969" s="33"/>
    </row>
    <row r="970">
      <c r="D970" s="33"/>
    </row>
    <row r="971">
      <c r="D971" s="33"/>
    </row>
    <row r="972">
      <c r="D972" s="33"/>
    </row>
    <row r="973">
      <c r="D973" s="33"/>
    </row>
    <row r="974">
      <c r="D974" s="33"/>
    </row>
    <row r="975">
      <c r="D975" s="33"/>
    </row>
    <row r="976">
      <c r="D976" s="33"/>
    </row>
    <row r="977">
      <c r="D977" s="33"/>
    </row>
    <row r="978">
      <c r="D978" s="33"/>
    </row>
    <row r="979">
      <c r="D979" s="33"/>
    </row>
    <row r="980">
      <c r="D980" s="33"/>
    </row>
    <row r="981">
      <c r="D981" s="33"/>
    </row>
    <row r="982">
      <c r="D982" s="33"/>
    </row>
    <row r="983">
      <c r="D983" s="33"/>
    </row>
    <row r="984">
      <c r="D984" s="33"/>
    </row>
    <row r="985">
      <c r="D985" s="33"/>
    </row>
    <row r="986">
      <c r="D986" s="33"/>
    </row>
    <row r="987">
      <c r="D987" s="33"/>
    </row>
    <row r="988">
      <c r="D988" s="33"/>
    </row>
    <row r="989">
      <c r="D989" s="33"/>
    </row>
    <row r="990">
      <c r="D990" s="33"/>
    </row>
    <row r="991">
      <c r="D991" s="33"/>
    </row>
    <row r="992">
      <c r="D992" s="33"/>
    </row>
    <row r="993">
      <c r="D993" s="33"/>
    </row>
    <row r="994">
      <c r="D994" s="33"/>
    </row>
    <row r="995">
      <c r="D995" s="33"/>
    </row>
    <row r="996">
      <c r="D996" s="33"/>
    </row>
    <row r="997">
      <c r="D997" s="33"/>
    </row>
    <row r="998">
      <c r="D998" s="33"/>
    </row>
    <row r="999">
      <c r="D999" s="33"/>
    </row>
    <row r="1000">
      <c r="D1000" s="33"/>
    </row>
  </sheetData>
  <drawing r:id="rId1"/>
</worksheet>
</file>